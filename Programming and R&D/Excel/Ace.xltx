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workbookProtection workbookPassword="C620" lockStructure="1"/>
  <bookViews>
    <workbookView xWindow="240" yWindow="108" windowWidth="14808" windowHeight="8016" firstSheet="2" activeTab="2"/>
  </bookViews>
  <sheets>
    <sheet name="NCA" sheetId="5" state="hidden" r:id="rId1"/>
    <sheet name="NCA register" sheetId="4" state="hidden" r:id="rId2"/>
    <sheet name="Transation" sheetId="1" r:id="rId3"/>
    <sheet name="Trial" sheetId="3" r:id="rId4"/>
    <sheet name="Ace" sheetId="2" r:id="rId5"/>
  </sheets>
  <externalReferences>
    <externalReference r:id="rId6"/>
    <externalReference r:id="rId7"/>
    <externalReference r:id="rId8"/>
  </externalReferences>
  <definedNames>
    <definedName name="Admin_TY">'[1]Admin- (5)'!$C$20</definedName>
    <definedName name="BankBalance">Transation[[#Totals],[Bank Balance]]</definedName>
    <definedName name="Cash_AC_Head">'[2]Cash-K'!$D:$D</definedName>
    <definedName name="Cash_Date">'[2]Cash-K'!$A:$A</definedName>
    <definedName name="Cash_Payments">'[2]Cash-K'!$F:$F</definedName>
    <definedName name="Cash_Receipts">'[2]Cash-K'!$E:$E</definedName>
    <definedName name="CashBalance">Transation[[#Totals],[Cash Balance]]</definedName>
    <definedName name="CF_CDFormat">#REF!</definedName>
    <definedName name="CF_CDFormatLY">#REF!</definedName>
    <definedName name="CF_ODFormat">#REF!</definedName>
    <definedName name="CF_ODFormatLY">#REF!</definedName>
    <definedName name="Closing_Date">#REF!</definedName>
    <definedName name="Diff">#REF!</definedName>
    <definedName name="Income_Tax">#REF!</definedName>
    <definedName name="MICB_AccountHead_Col">'[3]MICB-$'!$D:$D</definedName>
    <definedName name="MICB_Date_Col">'[3]MICB-$'!$A:$A</definedName>
    <definedName name="MICB_USD2Kyat_Payment">'[3]MICB-$'!$J:$J</definedName>
    <definedName name="MICB_USD2Kyat_Receipt">'[3]MICB-$'!$I:$I</definedName>
    <definedName name="Opening_Date">#REF!</definedName>
    <definedName name="_xlnm.Print_Area" localSheetId="1">'NCA register'!$A$1:$P$5</definedName>
  </definedNames>
  <calcPr calcId="152511"/>
</workbook>
</file>

<file path=xl/calcChain.xml><?xml version="1.0" encoding="utf-8"?>
<calcChain xmlns="http://schemas.openxmlformats.org/spreadsheetml/2006/main">
  <c r="X2" i="1" l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O5" i="4" l="1"/>
  <c r="O3" i="4"/>
  <c r="O4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3" i="4"/>
  <c r="A4" i="4"/>
  <c r="A5" i="4"/>
  <c r="A6" i="4"/>
  <c r="A7" i="4"/>
  <c r="H3" i="4"/>
  <c r="H4" i="4"/>
  <c r="J4" i="4" s="1"/>
  <c r="H5" i="4"/>
  <c r="J5" i="4" l="1"/>
  <c r="J21" i="4"/>
  <c r="J13" i="4"/>
  <c r="K24" i="4"/>
  <c r="J20" i="4"/>
  <c r="J16" i="4"/>
  <c r="J12" i="4"/>
  <c r="K8" i="4"/>
  <c r="K23" i="4"/>
  <c r="K19" i="4"/>
  <c r="K15" i="4"/>
  <c r="K11" i="4"/>
  <c r="K7" i="4"/>
  <c r="J26" i="4"/>
  <c r="K22" i="4"/>
  <c r="K18" i="4"/>
  <c r="K14" i="4"/>
  <c r="K10" i="4"/>
  <c r="K6" i="4"/>
  <c r="J25" i="4"/>
  <c r="J17" i="4"/>
  <c r="J9" i="4"/>
  <c r="K17" i="4"/>
  <c r="K3" i="4"/>
  <c r="K21" i="4"/>
  <c r="K13" i="4"/>
  <c r="K25" i="4"/>
  <c r="K9" i="4"/>
  <c r="K26" i="4"/>
  <c r="K5" i="4"/>
  <c r="K20" i="4"/>
  <c r="K16" i="4"/>
  <c r="K12" i="4"/>
  <c r="K4" i="4"/>
  <c r="J22" i="4"/>
  <c r="J18" i="4"/>
  <c r="M18" i="4" s="1"/>
  <c r="N18" i="4" s="1"/>
  <c r="J14" i="4"/>
  <c r="J10" i="4"/>
  <c r="J6" i="4"/>
  <c r="M6" i="4" s="1"/>
  <c r="N6" i="4" s="1"/>
  <c r="J24" i="4"/>
  <c r="J8" i="4"/>
  <c r="J23" i="4"/>
  <c r="J19" i="4"/>
  <c r="J15" i="4"/>
  <c r="J11" i="4"/>
  <c r="J7" i="4"/>
  <c r="M7" i="4" s="1"/>
  <c r="N7" i="4" s="1"/>
  <c r="J3" i="4"/>
  <c r="P26" i="4"/>
  <c r="P10" i="4"/>
  <c r="P14" i="4"/>
  <c r="P22" i="4"/>
  <c r="P6" i="4"/>
  <c r="P18" i="4"/>
  <c r="P25" i="4"/>
  <c r="P21" i="4"/>
  <c r="P17" i="4"/>
  <c r="P13" i="4"/>
  <c r="P9" i="4"/>
  <c r="P5" i="4"/>
  <c r="P24" i="4"/>
  <c r="P20" i="4"/>
  <c r="P16" i="4"/>
  <c r="P12" i="4"/>
  <c r="P8" i="4"/>
  <c r="P4" i="4"/>
  <c r="P23" i="4"/>
  <c r="P19" i="4"/>
  <c r="P15" i="4"/>
  <c r="P11" i="4"/>
  <c r="P7" i="4"/>
  <c r="P3" i="4"/>
  <c r="T2" i="1"/>
  <c r="U2" i="1"/>
  <c r="U3" i="1"/>
  <c r="U4" i="1"/>
  <c r="U6" i="1"/>
  <c r="U7" i="1"/>
  <c r="U8" i="1"/>
  <c r="U10" i="1"/>
  <c r="U11" i="1"/>
  <c r="U12" i="1"/>
  <c r="U14" i="1"/>
  <c r="U15" i="1"/>
  <c r="U16" i="1"/>
  <c r="U18" i="1"/>
  <c r="U19" i="1"/>
  <c r="U20" i="1"/>
  <c r="U22" i="1"/>
  <c r="U23" i="1"/>
  <c r="U24" i="1"/>
  <c r="U26" i="1"/>
  <c r="U27" i="1"/>
  <c r="U28" i="1"/>
  <c r="U30" i="1"/>
  <c r="U31" i="1"/>
  <c r="U32" i="1"/>
  <c r="U34" i="1"/>
  <c r="T3" i="1"/>
  <c r="T4" i="1"/>
  <c r="T6" i="1"/>
  <c r="T7" i="1"/>
  <c r="T8" i="1"/>
  <c r="T10" i="1"/>
  <c r="T11" i="1"/>
  <c r="T12" i="1"/>
  <c r="T14" i="1"/>
  <c r="T15" i="1"/>
  <c r="T16" i="1"/>
  <c r="T18" i="1"/>
  <c r="T19" i="1"/>
  <c r="T20" i="1"/>
  <c r="T22" i="1"/>
  <c r="T23" i="1"/>
  <c r="T24" i="1"/>
  <c r="T26" i="1"/>
  <c r="T27" i="1"/>
  <c r="T28" i="1"/>
  <c r="T30" i="1"/>
  <c r="T31" i="1"/>
  <c r="T32" i="1"/>
  <c r="T34" i="1"/>
  <c r="S3" i="1"/>
  <c r="S4" i="1"/>
  <c r="S6" i="1"/>
  <c r="S7" i="1"/>
  <c r="S8" i="1"/>
  <c r="S10" i="1"/>
  <c r="S11" i="1"/>
  <c r="S12" i="1"/>
  <c r="S14" i="1"/>
  <c r="S15" i="1"/>
  <c r="S16" i="1"/>
  <c r="S18" i="1"/>
  <c r="S19" i="1"/>
  <c r="S20" i="1"/>
  <c r="S22" i="1"/>
  <c r="S23" i="1"/>
  <c r="S24" i="1"/>
  <c r="S26" i="1"/>
  <c r="S27" i="1"/>
  <c r="S28" i="1"/>
  <c r="S30" i="1"/>
  <c r="S31" i="1"/>
  <c r="S32" i="1"/>
  <c r="S34" i="1"/>
  <c r="M19" i="4" l="1"/>
  <c r="N19" i="4" s="1"/>
  <c r="M13" i="4"/>
  <c r="N13" i="4" s="1"/>
  <c r="M25" i="4"/>
  <c r="N25" i="4" s="1"/>
  <c r="M11" i="4"/>
  <c r="N11" i="4" s="1"/>
  <c r="M9" i="4"/>
  <c r="N9" i="4" s="1"/>
  <c r="M21" i="4"/>
  <c r="N21" i="4" s="1"/>
  <c r="M16" i="4"/>
  <c r="N16" i="4" s="1"/>
  <c r="M22" i="4"/>
  <c r="N22" i="4" s="1"/>
  <c r="M12" i="4"/>
  <c r="N12" i="4" s="1"/>
  <c r="M14" i="4"/>
  <c r="N14" i="4" s="1"/>
  <c r="M24" i="4"/>
  <c r="N24" i="4" s="1"/>
  <c r="M5" i="4"/>
  <c r="N5" i="4" s="1"/>
  <c r="M17" i="4"/>
  <c r="N17" i="4" s="1"/>
  <c r="M26" i="4"/>
  <c r="N26" i="4" s="1"/>
  <c r="M10" i="4"/>
  <c r="N10" i="4" s="1"/>
  <c r="M4" i="4"/>
  <c r="N4" i="4" s="1"/>
  <c r="M8" i="4"/>
  <c r="N8" i="4" s="1"/>
  <c r="M23" i="4"/>
  <c r="N23" i="4" s="1"/>
  <c r="M20" i="4"/>
  <c r="N20" i="4" s="1"/>
  <c r="M15" i="4"/>
  <c r="N15" i="4" s="1"/>
  <c r="M3" i="4"/>
  <c r="N3" i="4" s="1"/>
  <c r="U33" i="1"/>
  <c r="U29" i="1"/>
  <c r="U25" i="1"/>
  <c r="U21" i="1"/>
  <c r="U17" i="1"/>
  <c r="U13" i="1"/>
  <c r="U9" i="1"/>
  <c r="U5" i="1"/>
  <c r="T33" i="1"/>
  <c r="T29" i="1"/>
  <c r="T25" i="1"/>
  <c r="T21" i="1"/>
  <c r="T17" i="1"/>
  <c r="T13" i="1"/>
  <c r="T9" i="1"/>
  <c r="T5" i="1"/>
  <c r="S33" i="1"/>
  <c r="S25" i="1"/>
  <c r="S21" i="1"/>
  <c r="S17" i="1"/>
  <c r="S13" i="1"/>
  <c r="S9" i="1"/>
  <c r="S5" i="1"/>
  <c r="S29" i="1"/>
  <c r="S2" i="1"/>
  <c r="B32" i="2"/>
  <c r="B31" i="2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B55" i="3" l="1"/>
  <c r="B56" i="3"/>
  <c r="B57" i="3"/>
  <c r="B58" i="3"/>
  <c r="B59" i="3"/>
  <c r="B60" i="3"/>
  <c r="B61" i="3"/>
  <c r="B62" i="3"/>
  <c r="C55" i="3"/>
  <c r="C56" i="3"/>
  <c r="C57" i="3"/>
  <c r="C58" i="3"/>
  <c r="C59" i="3"/>
  <c r="C60" i="3"/>
  <c r="C61" i="3"/>
  <c r="C62" i="3"/>
  <c r="F55" i="3"/>
  <c r="F56" i="3"/>
  <c r="F57" i="3"/>
  <c r="F58" i="3"/>
  <c r="F59" i="3"/>
  <c r="F60" i="3"/>
  <c r="F61" i="3"/>
  <c r="F62" i="3"/>
  <c r="K56" i="3"/>
  <c r="K57" i="3"/>
  <c r="K58" i="3"/>
  <c r="K59" i="3"/>
  <c r="K60" i="3"/>
  <c r="K61" i="3"/>
  <c r="K62" i="3"/>
  <c r="K55" i="3"/>
  <c r="E62" i="3" l="1"/>
  <c r="G62" i="3"/>
  <c r="G61" i="3"/>
  <c r="E61" i="3"/>
  <c r="E57" i="3"/>
  <c r="G57" i="3"/>
  <c r="E58" i="3"/>
  <c r="G58" i="3"/>
  <c r="G60" i="3"/>
  <c r="E60" i="3"/>
  <c r="G56" i="3"/>
  <c r="E56" i="3"/>
  <c r="E59" i="3"/>
  <c r="G59" i="3"/>
  <c r="G55" i="3"/>
  <c r="E55" i="3"/>
  <c r="B10" i="2" l="1"/>
  <c r="O9" i="2"/>
  <c r="P9" i="2"/>
  <c r="C11" i="3" l="1"/>
  <c r="C13" i="3"/>
  <c r="C16" i="3"/>
  <c r="C20" i="3"/>
  <c r="C28" i="3"/>
  <c r="C33" i="3"/>
  <c r="C39" i="3"/>
  <c r="C40" i="3"/>
  <c r="C41" i="3"/>
  <c r="C42" i="3"/>
  <c r="C43" i="3"/>
  <c r="C45" i="3"/>
  <c r="C46" i="3"/>
  <c r="C48" i="3"/>
  <c r="C49" i="3"/>
  <c r="C50" i="3"/>
  <c r="C51" i="3"/>
  <c r="C52" i="3"/>
  <c r="C53" i="3"/>
  <c r="C54" i="3"/>
  <c r="B11" i="3"/>
  <c r="B13" i="3"/>
  <c r="B16" i="3"/>
  <c r="B20" i="3"/>
  <c r="B28" i="3"/>
  <c r="B33" i="3"/>
  <c r="B39" i="3"/>
  <c r="B40" i="3"/>
  <c r="B41" i="3"/>
  <c r="B42" i="3"/>
  <c r="B43" i="3"/>
  <c r="B45" i="3"/>
  <c r="B46" i="3"/>
  <c r="B48" i="3"/>
  <c r="B49" i="3"/>
  <c r="B50" i="3"/>
  <c r="B51" i="3"/>
  <c r="B52" i="3"/>
  <c r="B53" i="3"/>
  <c r="B54" i="3"/>
  <c r="I6" i="2" l="1"/>
  <c r="B19" i="2" s="1"/>
  <c r="B22" i="2" l="1"/>
  <c r="O3" i="2"/>
  <c r="P3" i="2"/>
  <c r="P28" i="2" l="1"/>
  <c r="O28" i="2" l="1"/>
  <c r="J35" i="1"/>
  <c r="I35" i="1"/>
  <c r="K35" i="1" l="1"/>
  <c r="B9" i="3"/>
  <c r="B10" i="3"/>
  <c r="C14" i="3"/>
  <c r="B47" i="3"/>
  <c r="B44" i="3"/>
  <c r="C15" i="3"/>
  <c r="C9" i="3"/>
  <c r="B15" i="3"/>
  <c r="B14" i="3"/>
  <c r="C10" i="3" l="1"/>
  <c r="C44" i="3"/>
  <c r="C47" i="3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28" i="1"/>
  <c r="Z23" i="1"/>
  <c r="Z21" i="1"/>
  <c r="Z29" i="1"/>
  <c r="Z18" i="1"/>
  <c r="Z33" i="1"/>
  <c r="Z25" i="1"/>
  <c r="Z20" i="1"/>
  <c r="Z27" i="1"/>
  <c r="Z31" i="1"/>
  <c r="Z24" i="1"/>
  <c r="Z30" i="1"/>
  <c r="Z19" i="1"/>
  <c r="Z26" i="1"/>
  <c r="Z32" i="1"/>
  <c r="Z34" i="1"/>
  <c r="Z17" i="1"/>
  <c r="Z22" i="1"/>
  <c r="I4" i="2" l="1"/>
  <c r="M9" i="3" l="1" a="1"/>
  <c r="M9" i="3" s="1"/>
  <c r="M10" i="3" l="1" a="1"/>
  <c r="M10" i="3" s="1"/>
  <c r="M11" i="3" s="1" a="1"/>
  <c r="M11" i="3" s="1"/>
  <c r="M12" i="3" l="1" a="1"/>
  <c r="M12" i="3" s="1"/>
  <c r="F50" i="3"/>
  <c r="F51" i="3"/>
  <c r="F52" i="3"/>
  <c r="F53" i="3"/>
  <c r="F54" i="3"/>
  <c r="G52" i="3" l="1"/>
  <c r="E52" i="3"/>
  <c r="E51" i="3"/>
  <c r="G51" i="3"/>
  <c r="G53" i="3"/>
  <c r="E53" i="3"/>
  <c r="E54" i="3"/>
  <c r="G54" i="3"/>
  <c r="E50" i="3"/>
  <c r="G50" i="3"/>
  <c r="M13" i="3" a="1"/>
  <c r="M13" i="3" s="1"/>
  <c r="B16" i="2"/>
  <c r="O18" i="2"/>
  <c r="P18" i="2"/>
  <c r="O6" i="2"/>
  <c r="P6" i="2"/>
  <c r="M14" i="3" l="1" a="1"/>
  <c r="M14" i="3" s="1"/>
  <c r="M15" i="3" s="1" a="1"/>
  <c r="M15" i="3" s="1"/>
  <c r="M16" i="3" l="1" a="1"/>
  <c r="M16" i="3" s="1"/>
  <c r="R15" i="1"/>
  <c r="Y15" i="1" s="1"/>
  <c r="R34" i="1"/>
  <c r="Y34" i="1" s="1"/>
  <c r="R30" i="1"/>
  <c r="Y30" i="1" s="1"/>
  <c r="R27" i="1"/>
  <c r="Y27" i="1" s="1"/>
  <c r="R23" i="1"/>
  <c r="Y23" i="1" s="1"/>
  <c r="O15" i="1" l="1"/>
  <c r="N27" i="1"/>
  <c r="O27" i="1"/>
  <c r="N30" i="1"/>
  <c r="O30" i="1"/>
  <c r="N34" i="1"/>
  <c r="O34" i="1"/>
  <c r="N23" i="1"/>
  <c r="O23" i="1"/>
  <c r="N15" i="1"/>
  <c r="R11" i="1"/>
  <c r="Y11" i="1" s="1"/>
  <c r="R7" i="1"/>
  <c r="Y7" i="1" s="1"/>
  <c r="R3" i="1"/>
  <c r="Y3" i="1" s="1"/>
  <c r="R21" i="1"/>
  <c r="Y21" i="1" s="1"/>
  <c r="R33" i="1"/>
  <c r="Y33" i="1" s="1"/>
  <c r="R31" i="1"/>
  <c r="Y31" i="1" s="1"/>
  <c r="R19" i="1"/>
  <c r="Y19" i="1" s="1"/>
  <c r="R17" i="1"/>
  <c r="Y17" i="1" s="1"/>
  <c r="R14" i="1"/>
  <c r="Y14" i="1" s="1"/>
  <c r="R10" i="1"/>
  <c r="Y10" i="1" s="1"/>
  <c r="R6" i="1"/>
  <c r="Y6" i="1" s="1"/>
  <c r="R2" i="1"/>
  <c r="Y2" i="1" s="1"/>
  <c r="R29" i="1"/>
  <c r="Y29" i="1" s="1"/>
  <c r="R25" i="1"/>
  <c r="Y25" i="1" s="1"/>
  <c r="R26" i="1"/>
  <c r="Y26" i="1" s="1"/>
  <c r="R22" i="1"/>
  <c r="Y22" i="1" s="1"/>
  <c r="R13" i="1"/>
  <c r="Y13" i="1" s="1"/>
  <c r="R9" i="1"/>
  <c r="Y9" i="1" s="1"/>
  <c r="R5" i="1"/>
  <c r="Y5" i="1" s="1"/>
  <c r="R28" i="1"/>
  <c r="Y28" i="1" s="1"/>
  <c r="R18" i="1"/>
  <c r="Y18" i="1" s="1"/>
  <c r="R20" i="1"/>
  <c r="Y20" i="1" s="1"/>
  <c r="R24" i="1"/>
  <c r="Y24" i="1" s="1"/>
  <c r="R32" i="1"/>
  <c r="Y32" i="1" s="1"/>
  <c r="R16" i="1"/>
  <c r="Y16" i="1" s="1"/>
  <c r="R12" i="1"/>
  <c r="Y12" i="1" s="1"/>
  <c r="R8" i="1"/>
  <c r="Y8" i="1" s="1"/>
  <c r="R4" i="1"/>
  <c r="Y4" i="1" s="1"/>
  <c r="M17" i="3" a="1"/>
  <c r="M17" i="3" s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P22" i="2"/>
  <c r="P31" i="2"/>
  <c r="P20" i="2"/>
  <c r="P24" i="2"/>
  <c r="P12" i="2"/>
  <c r="P13" i="2"/>
  <c r="P15" i="2"/>
  <c r="P23" i="2"/>
  <c r="P27" i="2"/>
  <c r="O22" i="2"/>
  <c r="O31" i="2"/>
  <c r="O20" i="2"/>
  <c r="O24" i="2"/>
  <c r="O12" i="2"/>
  <c r="O13" i="2"/>
  <c r="O15" i="2"/>
  <c r="O23" i="2"/>
  <c r="O27" i="2"/>
  <c r="Q33" i="2"/>
  <c r="F4" i="2" l="1"/>
  <c r="E4" i="2"/>
  <c r="O14" i="1"/>
  <c r="O2" i="1"/>
  <c r="O8" i="1"/>
  <c r="O6" i="1"/>
  <c r="O19" i="1"/>
  <c r="O16" i="1"/>
  <c r="O18" i="1"/>
  <c r="O13" i="1"/>
  <c r="O11" i="1"/>
  <c r="O4" i="1"/>
  <c r="O17" i="1"/>
  <c r="O21" i="1"/>
  <c r="O12" i="1"/>
  <c r="O20" i="1"/>
  <c r="O9" i="1"/>
  <c r="O10" i="1"/>
  <c r="O7" i="1"/>
  <c r="O3" i="1"/>
  <c r="G48" i="3"/>
  <c r="E48" i="3"/>
  <c r="G43" i="3"/>
  <c r="E43" i="3"/>
  <c r="G35" i="3"/>
  <c r="G31" i="3"/>
  <c r="G23" i="3"/>
  <c r="E15" i="3"/>
  <c r="G15" i="3"/>
  <c r="E46" i="3"/>
  <c r="G46" i="3"/>
  <c r="E42" i="3"/>
  <c r="G42" i="3"/>
  <c r="G38" i="3"/>
  <c r="G34" i="3"/>
  <c r="G30" i="3"/>
  <c r="G26" i="3"/>
  <c r="G22" i="3"/>
  <c r="G18" i="3"/>
  <c r="E14" i="3"/>
  <c r="G14" i="3"/>
  <c r="E10" i="3"/>
  <c r="G10" i="3"/>
  <c r="G40" i="3"/>
  <c r="E40" i="3"/>
  <c r="G32" i="3"/>
  <c r="E47" i="3"/>
  <c r="G47" i="3"/>
  <c r="E39" i="3"/>
  <c r="G39" i="3"/>
  <c r="G27" i="3"/>
  <c r="G19" i="3"/>
  <c r="E11" i="3"/>
  <c r="G11" i="3"/>
  <c r="G49" i="3"/>
  <c r="E49" i="3"/>
  <c r="E45" i="3"/>
  <c r="G45" i="3"/>
  <c r="G41" i="3"/>
  <c r="E41" i="3"/>
  <c r="G37" i="3"/>
  <c r="E33" i="3"/>
  <c r="G33" i="3"/>
  <c r="G29" i="3"/>
  <c r="G25" i="3"/>
  <c r="G21" i="3"/>
  <c r="G17" i="3"/>
  <c r="G13" i="3"/>
  <c r="E13" i="3"/>
  <c r="G9" i="3"/>
  <c r="E9" i="3"/>
  <c r="G44" i="3"/>
  <c r="E44" i="3"/>
  <c r="G36" i="3"/>
  <c r="G28" i="3"/>
  <c r="E28" i="3"/>
  <c r="G24" i="3"/>
  <c r="G20" i="3"/>
  <c r="E20" i="3"/>
  <c r="G16" i="3"/>
  <c r="E16" i="3"/>
  <c r="G12" i="3"/>
  <c r="N32" i="1"/>
  <c r="O32" i="1"/>
  <c r="N28" i="1"/>
  <c r="O28" i="1"/>
  <c r="N22" i="1"/>
  <c r="O22" i="1"/>
  <c r="N29" i="1"/>
  <c r="O29" i="1"/>
  <c r="N33" i="1"/>
  <c r="O33" i="1"/>
  <c r="N24" i="1"/>
  <c r="O24" i="1"/>
  <c r="N5" i="1"/>
  <c r="O5" i="1"/>
  <c r="N26" i="1"/>
  <c r="O26" i="1"/>
  <c r="N25" i="1"/>
  <c r="O25" i="1"/>
  <c r="N31" i="1"/>
  <c r="O31" i="1"/>
  <c r="N2" i="1"/>
  <c r="N18" i="1"/>
  <c r="N13" i="1"/>
  <c r="N14" i="1"/>
  <c r="N11" i="1"/>
  <c r="N4" i="1"/>
  <c r="N17" i="1"/>
  <c r="N21" i="1"/>
  <c r="N16" i="1"/>
  <c r="N8" i="1"/>
  <c r="N6" i="1"/>
  <c r="N19" i="1"/>
  <c r="N3" i="1"/>
  <c r="N12" i="1"/>
  <c r="N20" i="1"/>
  <c r="N9" i="1"/>
  <c r="N10" i="1"/>
  <c r="N7" i="1"/>
  <c r="E5" i="2"/>
  <c r="F5" i="2"/>
  <c r="E10" i="2"/>
  <c r="F10" i="2"/>
  <c r="Q3" i="1"/>
  <c r="P3" i="1" s="1"/>
  <c r="Q6" i="1"/>
  <c r="P6" i="1" s="1"/>
  <c r="Q2" i="1"/>
  <c r="P2" i="1" s="1"/>
  <c r="Q11" i="1"/>
  <c r="P11" i="1" s="1"/>
  <c r="Q7" i="1"/>
  <c r="P7" i="1" s="1"/>
  <c r="Q13" i="1"/>
  <c r="P13" i="1" s="1"/>
  <c r="Q9" i="1"/>
  <c r="P9" i="1" s="1"/>
  <c r="Q5" i="1"/>
  <c r="P5" i="1" s="1"/>
  <c r="Q8" i="1"/>
  <c r="P8" i="1" s="1"/>
  <c r="Q4" i="1"/>
  <c r="P4" i="1" s="1"/>
  <c r="K51" i="3"/>
  <c r="K52" i="3"/>
  <c r="K53" i="3"/>
  <c r="Q21" i="1"/>
  <c r="P21" i="1" s="1"/>
  <c r="Q33" i="1"/>
  <c r="P33" i="1" s="1"/>
  <c r="Q31" i="1"/>
  <c r="P31" i="1" s="1"/>
  <c r="Q19" i="1"/>
  <c r="P19" i="1" s="1"/>
  <c r="Q17" i="1"/>
  <c r="P17" i="1" s="1"/>
  <c r="Q27" i="1"/>
  <c r="P27" i="1" s="1"/>
  <c r="Q34" i="1"/>
  <c r="P34" i="1" s="1"/>
  <c r="Q29" i="1"/>
  <c r="P29" i="1" s="1"/>
  <c r="Q25" i="1"/>
  <c r="P25" i="1" s="1"/>
  <c r="Q26" i="1"/>
  <c r="P26" i="1" s="1"/>
  <c r="Q22" i="1"/>
  <c r="P22" i="1" s="1"/>
  <c r="Q23" i="1"/>
  <c r="P23" i="1" s="1"/>
  <c r="Q30" i="1"/>
  <c r="P30" i="1" s="1"/>
  <c r="Q18" i="1"/>
  <c r="P18" i="1" s="1"/>
  <c r="Q20" i="1"/>
  <c r="P20" i="1" s="1"/>
  <c r="Q24" i="1"/>
  <c r="P24" i="1" s="1"/>
  <c r="Q32" i="1"/>
  <c r="P32" i="1" s="1"/>
  <c r="Q14" i="1"/>
  <c r="P14" i="1" s="1"/>
  <c r="Q16" i="1"/>
  <c r="P16" i="1" s="1"/>
  <c r="Q28" i="1"/>
  <c r="P28" i="1" s="1"/>
  <c r="Q12" i="1"/>
  <c r="P12" i="1" s="1"/>
  <c r="Q15" i="1"/>
  <c r="P15" i="1" s="1"/>
  <c r="Q10" i="1"/>
  <c r="P10" i="1" s="1"/>
  <c r="B19" i="3"/>
  <c r="C19" i="3"/>
  <c r="B23" i="3"/>
  <c r="B17" i="3"/>
  <c r="B25" i="3"/>
  <c r="B36" i="3"/>
  <c r="B24" i="3"/>
  <c r="C27" i="3"/>
  <c r="C22" i="3"/>
  <c r="B30" i="3"/>
  <c r="C29" i="3"/>
  <c r="B32" i="3"/>
  <c r="C37" i="3"/>
  <c r="B26" i="3"/>
  <c r="B18" i="3"/>
  <c r="B35" i="3"/>
  <c r="B31" i="3"/>
  <c r="B21" i="3"/>
  <c r="C34" i="3"/>
  <c r="C38" i="3"/>
  <c r="B12" i="3"/>
  <c r="B29" i="3"/>
  <c r="C24" i="3"/>
  <c r="M18" i="3" a="1"/>
  <c r="M18" i="3" s="1"/>
  <c r="M19" i="3" s="1" a="1"/>
  <c r="M19" i="3" s="1"/>
  <c r="M20" i="3" s="1" a="1"/>
  <c r="M20" i="3" s="1"/>
  <c r="M21" i="3" s="1" a="1"/>
  <c r="M21" i="3" s="1"/>
  <c r="M22" i="3" s="1" a="1"/>
  <c r="M22" i="3" s="1"/>
  <c r="M23" i="3" s="1" a="1"/>
  <c r="M23" i="3" s="1"/>
  <c r="M24" i="3" s="1" a="1"/>
  <c r="M24" i="3" s="1"/>
  <c r="M25" i="3" s="1" a="1"/>
  <c r="M25" i="3" s="1"/>
  <c r="M26" i="3" s="1" a="1"/>
  <c r="M26" i="3" s="1"/>
  <c r="M27" i="3" s="1" a="1"/>
  <c r="M27" i="3" s="1"/>
  <c r="M28" i="3" s="1" a="1"/>
  <c r="M28" i="3" s="1"/>
  <c r="M29" i="3" s="1" a="1"/>
  <c r="M29" i="3" s="1"/>
  <c r="M30" i="3" s="1" a="1"/>
  <c r="M30" i="3" s="1"/>
  <c r="M31" i="3" s="1" a="1"/>
  <c r="M31" i="3" s="1"/>
  <c r="M32" i="3" s="1" a="1"/>
  <c r="M32" i="3" s="1"/>
  <c r="M33" i="3" s="1" a="1"/>
  <c r="M33" i="3" s="1"/>
  <c r="M34" i="3" s="1" a="1"/>
  <c r="M34" i="3" s="1"/>
  <c r="M35" i="3" s="1" a="1"/>
  <c r="M35" i="3" s="1"/>
  <c r="M36" i="3" s="1" a="1"/>
  <c r="M36" i="3" s="1"/>
  <c r="M37" i="3" s="1" a="1"/>
  <c r="M37" i="3" s="1"/>
  <c r="M38" i="3" s="1" a="1"/>
  <c r="M38" i="3" s="1"/>
  <c r="M39" i="3" s="1" a="1"/>
  <c r="M39" i="3" s="1"/>
  <c r="M40" i="3" s="1" a="1"/>
  <c r="M40" i="3" s="1"/>
  <c r="M41" i="3" s="1" a="1"/>
  <c r="M41" i="3" s="1"/>
  <c r="M42" i="3" s="1" a="1"/>
  <c r="M42" i="3" s="1"/>
  <c r="M43" i="3" s="1" a="1"/>
  <c r="M43" i="3" s="1"/>
  <c r="M44" i="3" s="1" a="1"/>
  <c r="M44" i="3" s="1"/>
  <c r="M45" i="3" s="1" a="1"/>
  <c r="M45" i="3" s="1"/>
  <c r="M46" i="3" s="1" a="1"/>
  <c r="M46" i="3" s="1"/>
  <c r="K50" i="3"/>
  <c r="C30" i="3"/>
  <c r="K54" i="3"/>
  <c r="C25" i="3"/>
  <c r="B22" i="3"/>
  <c r="B27" i="3"/>
  <c r="C36" i="3"/>
  <c r="E21" i="2"/>
  <c r="E22" i="2"/>
  <c r="F3" i="2"/>
  <c r="F8" i="2"/>
  <c r="F13" i="2"/>
  <c r="F17" i="2"/>
  <c r="F12" i="2"/>
  <c r="F9" i="2"/>
  <c r="F14" i="2"/>
  <c r="F18" i="2"/>
  <c r="F7" i="2"/>
  <c r="F6" i="2"/>
  <c r="F11" i="2"/>
  <c r="F15" i="2"/>
  <c r="E15" i="2"/>
  <c r="E19" i="2"/>
  <c r="E16" i="2"/>
  <c r="E20" i="2"/>
  <c r="E17" i="2"/>
  <c r="E23" i="2"/>
  <c r="E18" i="2"/>
  <c r="C35" i="3"/>
  <c r="C21" i="3"/>
  <c r="B34" i="3"/>
  <c r="E34" i="3" s="1"/>
  <c r="B38" i="3"/>
  <c r="C12" i="3"/>
  <c r="C18" i="3"/>
  <c r="C31" i="3"/>
  <c r="C32" i="3"/>
  <c r="C26" i="3"/>
  <c r="B37" i="3"/>
  <c r="C17" i="3"/>
  <c r="C23" i="3"/>
  <c r="O38" i="2"/>
  <c r="P38" i="2"/>
  <c r="O4" i="2"/>
  <c r="P4" i="2"/>
  <c r="E17" i="3" l="1"/>
  <c r="E22" i="3"/>
  <c r="E37" i="3"/>
  <c r="E24" i="3"/>
  <c r="E23" i="3"/>
  <c r="E27" i="3"/>
  <c r="E29" i="3"/>
  <c r="E21" i="3"/>
  <c r="E36" i="3"/>
  <c r="E32" i="3"/>
  <c r="E38" i="3"/>
  <c r="E26" i="3"/>
  <c r="E12" i="3"/>
  <c r="E31" i="3"/>
  <c r="E25" i="3"/>
  <c r="E19" i="3"/>
  <c r="E35" i="3"/>
  <c r="E30" i="3"/>
  <c r="E18" i="3"/>
  <c r="M47" i="3" a="1"/>
  <c r="M47" i="3" s="1"/>
  <c r="M48" i="3" s="1" a="1"/>
  <c r="M48" i="3" s="1"/>
  <c r="M49" i="3" s="1" a="1"/>
  <c r="M49" i="3" s="1"/>
  <c r="M50" i="3" s="1" a="1"/>
  <c r="M50" i="3" s="1"/>
  <c r="M51" i="3" s="1" a="1"/>
  <c r="M51" i="3" s="1"/>
  <c r="M52" i="3" s="1" a="1"/>
  <c r="M52" i="3" s="1"/>
  <c r="M53" i="3" s="1" a="1"/>
  <c r="M53" i="3" s="1"/>
  <c r="M54" i="3" s="1" a="1"/>
  <c r="M54" i="3" s="1"/>
  <c r="M55" i="3" s="1" a="1"/>
  <c r="M55" i="3" s="1"/>
  <c r="M56" i="3" s="1" a="1"/>
  <c r="M56" i="3" s="1"/>
  <c r="M57" i="3" s="1" a="1"/>
  <c r="M57" i="3" s="1"/>
  <c r="M58" i="3" s="1" a="1"/>
  <c r="M58" i="3" s="1"/>
  <c r="B33" i="2"/>
  <c r="K48" i="3"/>
  <c r="K49" i="3"/>
  <c r="F20" i="2" l="1"/>
  <c r="L8" i="2"/>
  <c r="B26" i="2" l="1"/>
  <c r="P10" i="2" l="1"/>
  <c r="P17" i="2"/>
  <c r="P11" i="2"/>
  <c r="P19" i="2"/>
  <c r="P5" i="2"/>
  <c r="P21" i="2"/>
  <c r="K10" i="3"/>
  <c r="K12" i="3"/>
  <c r="K14" i="3"/>
  <c r="O10" i="2"/>
  <c r="O17" i="2"/>
  <c r="O11" i="2"/>
  <c r="O14" i="2"/>
  <c r="O19" i="2"/>
  <c r="O21" i="2"/>
  <c r="O5" i="2" l="1"/>
  <c r="O25" i="2"/>
  <c r="P14" i="2"/>
  <c r="P25" i="2"/>
  <c r="K24" i="3"/>
  <c r="K20" i="3"/>
  <c r="O16" i="2"/>
  <c r="P16" i="2"/>
  <c r="K9" i="3"/>
  <c r="B23" i="2" s="1"/>
  <c r="K32" i="3"/>
  <c r="K28" i="3"/>
  <c r="K38" i="3"/>
  <c r="K34" i="3"/>
  <c r="K30" i="3"/>
  <c r="K26" i="3"/>
  <c r="B13" i="2" s="1"/>
  <c r="K22" i="3"/>
  <c r="B15" i="2" s="1"/>
  <c r="K18" i="3"/>
  <c r="B11" i="2" s="1"/>
  <c r="K39" i="3"/>
  <c r="K35" i="3"/>
  <c r="K31" i="3"/>
  <c r="K27" i="3"/>
  <c r="K23" i="3"/>
  <c r="K19" i="3"/>
  <c r="K15" i="3"/>
  <c r="K11" i="3"/>
  <c r="K44" i="3"/>
  <c r="K40" i="3"/>
  <c r="K36" i="3"/>
  <c r="K41" i="3"/>
  <c r="K37" i="3"/>
  <c r="K33" i="3"/>
  <c r="K29" i="3"/>
  <c r="K25" i="3"/>
  <c r="K21" i="3"/>
  <c r="K17" i="3"/>
  <c r="K13" i="3"/>
  <c r="B27" i="2" l="1"/>
  <c r="B14" i="2"/>
  <c r="L9" i="2"/>
  <c r="B28" i="2" l="1"/>
  <c r="E14" i="2"/>
  <c r="E11" i="2"/>
  <c r="F22" i="2" l="1"/>
  <c r="E6" i="2"/>
  <c r="F23" i="2" l="1"/>
  <c r="F21" i="2"/>
  <c r="F16" i="2"/>
  <c r="F35" i="1" l="1"/>
  <c r="L35" i="1"/>
  <c r="M35" i="1"/>
  <c r="E35" i="1"/>
  <c r="G35" i="1" l="1"/>
  <c r="B4" i="3" s="1"/>
  <c r="E13" i="2" l="1"/>
  <c r="B5" i="3"/>
  <c r="E5" i="3" s="1"/>
  <c r="E4" i="3"/>
  <c r="E12" i="2"/>
  <c r="O35" i="1"/>
  <c r="N35" i="1"/>
  <c r="P35" i="1" l="1"/>
  <c r="B34" i="2"/>
  <c r="B35" i="2" s="1"/>
  <c r="N14" i="3"/>
  <c r="Q35" i="1"/>
  <c r="N11" i="3" l="1"/>
  <c r="N15" i="3"/>
  <c r="N16" i="3"/>
  <c r="P2" i="2" l="1"/>
  <c r="P8" i="2"/>
  <c r="O2" i="2"/>
  <c r="O8" i="2"/>
  <c r="K16" i="3"/>
  <c r="N18" i="3"/>
  <c r="N19" i="3"/>
  <c r="N17" i="3"/>
  <c r="B21" i="2" l="1"/>
  <c r="B12" i="2"/>
  <c r="E3" i="2"/>
  <c r="E9" i="2"/>
  <c r="N20" i="3"/>
  <c r="N21" i="3" l="1"/>
  <c r="O7" i="2" l="1"/>
  <c r="O26" i="2"/>
  <c r="P7" i="2"/>
  <c r="P26" i="2"/>
  <c r="K42" i="3"/>
  <c r="B8" i="2" l="1"/>
  <c r="B9" i="2"/>
  <c r="E7" i="2"/>
  <c r="E8" i="2"/>
  <c r="L3" i="2"/>
  <c r="I8" i="2"/>
  <c r="B5" i="2" s="1"/>
  <c r="I3" i="2"/>
  <c r="L4" i="2"/>
  <c r="B6" i="2"/>
  <c r="L5" i="2" l="1"/>
  <c r="K45" i="3" l="1"/>
  <c r="N23" i="3"/>
  <c r="N24" i="3"/>
  <c r="N25" i="3"/>
  <c r="N27" i="3"/>
  <c r="N26" i="3"/>
  <c r="N29" i="3"/>
  <c r="N28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I5" i="2"/>
  <c r="I7" i="2"/>
  <c r="B18" i="2" s="1"/>
  <c r="N46" i="3"/>
  <c r="N47" i="3" l="1"/>
  <c r="K46" i="3"/>
  <c r="L6" i="2"/>
  <c r="E3" i="3"/>
  <c r="N49" i="3"/>
  <c r="P30" i="2"/>
  <c r="N9" i="3"/>
  <c r="N10" i="3"/>
  <c r="O29" i="2" l="1"/>
  <c r="O30" i="2"/>
  <c r="C63" i="3"/>
  <c r="O32" i="2"/>
  <c r="B63" i="3"/>
  <c r="N22" i="3"/>
  <c r="N12" i="3"/>
  <c r="N13" i="3"/>
  <c r="P29" i="2"/>
  <c r="N50" i="3"/>
  <c r="K43" i="3"/>
  <c r="N48" i="3"/>
  <c r="O33" i="2" l="1"/>
  <c r="B3" i="3"/>
  <c r="B6" i="3" s="1"/>
  <c r="E2" i="3"/>
  <c r="E6" i="3" s="1"/>
  <c r="L7" i="2"/>
  <c r="L10" i="2" s="1"/>
  <c r="B4" i="2"/>
  <c r="J63" i="3"/>
  <c r="E24" i="2"/>
  <c r="O35" i="2"/>
  <c r="O36" i="2"/>
  <c r="I63" i="3"/>
  <c r="P32" i="2"/>
  <c r="P36" i="2" s="1"/>
  <c r="K47" i="3"/>
  <c r="K63" i="3" s="1"/>
  <c r="H63" i="3"/>
  <c r="B24" i="2"/>
  <c r="N51" i="3"/>
  <c r="P33" i="2" l="1"/>
  <c r="B25" i="2"/>
  <c r="E63" i="3"/>
  <c r="O37" i="2"/>
  <c r="O39" i="2" s="1"/>
  <c r="O41" i="2" s="1"/>
  <c r="P35" i="2"/>
  <c r="P37" i="2" s="1"/>
  <c r="P39" i="2" s="1"/>
  <c r="P41" i="2" s="1"/>
  <c r="N52" i="3"/>
  <c r="N53" i="3" l="1"/>
  <c r="I9" i="2" l="1"/>
  <c r="B3" i="2"/>
  <c r="N54" i="3"/>
  <c r="I10" i="2" l="1"/>
  <c r="F19" i="2" s="1"/>
  <c r="F24" i="2" s="1"/>
  <c r="F27" i="2" s="1"/>
  <c r="B7" i="2"/>
  <c r="N55" i="3"/>
  <c r="B17" i="2" l="1"/>
  <c r="B20" i="2" s="1"/>
  <c r="B29" i="2" s="1"/>
  <c r="B36" i="2" s="1"/>
  <c r="B37" i="2" s="1"/>
  <c r="N56" i="3"/>
  <c r="N57" i="3" l="1"/>
  <c r="N58" i="3" l="1"/>
</calcChain>
</file>

<file path=xl/comments1.xml><?xml version="1.0" encoding="utf-8"?>
<comments xmlns="http://schemas.openxmlformats.org/spreadsheetml/2006/main">
  <authors>
    <author>Author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Time Frame</t>
        </r>
      </text>
    </comment>
  </commentList>
</comments>
</file>

<file path=xl/sharedStrings.xml><?xml version="1.0" encoding="utf-8"?>
<sst xmlns="http://schemas.openxmlformats.org/spreadsheetml/2006/main" count="193" uniqueCount="118">
  <si>
    <t>Date</t>
  </si>
  <si>
    <t>Particulars</t>
  </si>
  <si>
    <t>Account Head</t>
  </si>
  <si>
    <t>Debit</t>
  </si>
  <si>
    <t>Credit</t>
  </si>
  <si>
    <t>Cash Balance</t>
  </si>
  <si>
    <t>Deposit</t>
  </si>
  <si>
    <t>Withdraw</t>
  </si>
  <si>
    <t>Bank Balance</t>
  </si>
  <si>
    <t>Reference</t>
  </si>
  <si>
    <t>Receipt (Debit)</t>
  </si>
  <si>
    <t>Payment (Credit)</t>
  </si>
  <si>
    <t>Retained Earnings</t>
  </si>
  <si>
    <t>Accrued Expenses</t>
  </si>
  <si>
    <t>Is Contra</t>
  </si>
  <si>
    <t>Type</t>
  </si>
  <si>
    <t>AccHead</t>
  </si>
  <si>
    <t>Accumulated Depreciation</t>
  </si>
  <si>
    <t>Expenses</t>
  </si>
  <si>
    <t>Cost of Sales</t>
  </si>
  <si>
    <t>Equity-doesn't close</t>
  </si>
  <si>
    <t>Issued Share Capital</t>
  </si>
  <si>
    <t>Long Term Liabilities</t>
  </si>
  <si>
    <t>Other Assets</t>
  </si>
  <si>
    <t>Other Income</t>
  </si>
  <si>
    <t>IsCredit</t>
  </si>
  <si>
    <t>Jr-Dr</t>
  </si>
  <si>
    <t>Jr-Cr</t>
  </si>
  <si>
    <t>Equity-gets closed</t>
  </si>
  <si>
    <t>Non-Current Assets</t>
  </si>
  <si>
    <t>Account</t>
  </si>
  <si>
    <t>Total</t>
  </si>
  <si>
    <t>Without Closing Balance</t>
  </si>
  <si>
    <t>Diff</t>
  </si>
  <si>
    <t>Tri</t>
  </si>
  <si>
    <t>Particular</t>
  </si>
  <si>
    <t>Amount</t>
  </si>
  <si>
    <t>GP</t>
  </si>
  <si>
    <t>Commercial Tax</t>
  </si>
  <si>
    <t>Income Tax</t>
  </si>
  <si>
    <t>Difference In Exchange</t>
  </si>
  <si>
    <t>Depreciation</t>
  </si>
  <si>
    <t>NP Before Tax</t>
  </si>
  <si>
    <t>RE</t>
  </si>
  <si>
    <t>Cash</t>
  </si>
  <si>
    <t>Bank</t>
  </si>
  <si>
    <t>Jr</t>
  </si>
  <si>
    <t>Retained Earnings Adjustment</t>
  </si>
  <si>
    <t>Net CF</t>
  </si>
  <si>
    <t>Operating profit / (loss) before working capital changes</t>
  </si>
  <si>
    <t>Cash generated from operations</t>
  </si>
  <si>
    <t>Commercial Tax Paid</t>
  </si>
  <si>
    <t>Income Tax Paid</t>
  </si>
  <si>
    <t>Net cash flow from operating activities</t>
  </si>
  <si>
    <t>Profit / (Loss) on Disposal</t>
  </si>
  <si>
    <t>Net cash flow in investing activities</t>
  </si>
  <si>
    <t>Net cash used in financing activities</t>
  </si>
  <si>
    <t>Cash Received for Sales of NCA</t>
  </si>
  <si>
    <t>Bank Name</t>
  </si>
  <si>
    <t>Opening</t>
  </si>
  <si>
    <t>Closing</t>
  </si>
  <si>
    <t>Opening Cash</t>
  </si>
  <si>
    <t>Opening Bank</t>
  </si>
  <si>
    <t>Net Cashflow</t>
  </si>
  <si>
    <t>Opening Cash/Bank</t>
  </si>
  <si>
    <t>Cash/Bank In</t>
  </si>
  <si>
    <t>Cash/Bank Out</t>
  </si>
  <si>
    <t>Net Cash Flow</t>
  </si>
  <si>
    <t>Net Bank Flow</t>
  </si>
  <si>
    <t>Closing Cash/Bank</t>
  </si>
  <si>
    <t>Contra</t>
  </si>
  <si>
    <t xml:space="preserve"> Net Increase / (Decrease) in cash &amp; cash equivalents </t>
  </si>
  <si>
    <t>Is Contra C&amp;B</t>
  </si>
  <si>
    <t>Is Contra B&amp;J</t>
  </si>
  <si>
    <t>Is Contra C&amp;J</t>
  </si>
  <si>
    <t>Cash Transation</t>
  </si>
  <si>
    <t>Jr Transation</t>
  </si>
  <si>
    <t>Revenue</t>
  </si>
  <si>
    <t>Investment</t>
  </si>
  <si>
    <t>Receivable</t>
  </si>
  <si>
    <t>Advance Tax</t>
  </si>
  <si>
    <t>Inventory</t>
  </si>
  <si>
    <t>Payable</t>
  </si>
  <si>
    <t>Changes</t>
  </si>
  <si>
    <t xml:space="preserve"> Net Increase / (Decrease)</t>
  </si>
  <si>
    <t>Checking</t>
  </si>
  <si>
    <t>Bank Transation</t>
  </si>
  <si>
    <t>Date Check</t>
  </si>
  <si>
    <t>Is Credit</t>
  </si>
  <si>
    <t>Balance</t>
  </si>
  <si>
    <t>Intangiable Non-Current Assets</t>
  </si>
  <si>
    <t>Finance Cost</t>
  </si>
  <si>
    <t xml:space="preserve"> NP Before Tax </t>
  </si>
  <si>
    <t>Closed Balance</t>
  </si>
  <si>
    <t>FP</t>
  </si>
  <si>
    <t>CIE for RE</t>
  </si>
  <si>
    <t>IS</t>
  </si>
  <si>
    <t>CF</t>
  </si>
  <si>
    <t>Prepayment</t>
  </si>
  <si>
    <t>Other Current Asset</t>
  </si>
  <si>
    <t>Other Current Liabilities</t>
  </si>
  <si>
    <t>Accumulated Dep 
on Disposal</t>
  </si>
  <si>
    <t>Depreciation for the Year</t>
  </si>
  <si>
    <t>Opening Depreciation</t>
  </si>
  <si>
    <t>Rate %</t>
  </si>
  <si>
    <t>Total Cost</t>
  </si>
  <si>
    <t xml:space="preserve">Additional Cost </t>
  </si>
  <si>
    <t>Purchase 
Date</t>
  </si>
  <si>
    <t>No</t>
  </si>
  <si>
    <t>Non-Current Asset Register</t>
  </si>
  <si>
    <t>Rate</t>
  </si>
  <si>
    <t>NCA Group</t>
  </si>
  <si>
    <t>Opening Original Cost</t>
  </si>
  <si>
    <t>Sales of NCA</t>
  </si>
  <si>
    <t>31 March 2018</t>
  </si>
  <si>
    <t>Carrying Value - Kyat</t>
  </si>
  <si>
    <t>Fixtures &amp; Furniture</t>
  </si>
  <si>
    <t>Dep for 12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</si>
</sst>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F800]dddd\,\ mmmm\ dd\,\ yyyy"/>
    <numFmt numFmtId="165" formatCode="_(* #,##0_);_(* \(#,##0\);_(* &quot;-&quot;??_);_(@_)"/>
  </numFmts>
  <fonts count="22" x14ac:knownFonts="1">
    <font>
      <sz val="11"/>
      <color theme="1"/>
      <name val="Corbel"/>
      <family val="2"/>
      <scheme val="minor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Corbel"/>
      <family val="2"/>
      <scheme val="minor"/>
    </font>
    <font>
      <sz val="10"/>
      <name val="Arial"/>
      <family val="2"/>
    </font>
    <font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3F3F3F"/>
      <name val="Times New Roman"/>
      <family val="1"/>
    </font>
    <font>
      <b/>
      <sz val="11"/>
      <color rgb="FFFA7D00"/>
      <name val="Times New Roman"/>
      <family val="1"/>
    </font>
    <font>
      <sz val="11"/>
      <color rgb="FFFA7D00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rgb="FF3F3F3F"/>
      <name val="Times New Roman"/>
      <family val="1"/>
    </font>
    <font>
      <sz val="11"/>
      <color theme="1"/>
      <name val="Times New Roman"/>
    </font>
    <font>
      <b/>
      <sz val="12"/>
      <color theme="1"/>
      <name val="Times New Roman"/>
      <family val="1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5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Dashed">
        <color indexed="64"/>
      </top>
      <bottom/>
      <diagonal/>
    </border>
  </borders>
  <cellStyleXfs count="13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</cellStyleXfs>
  <cellXfs count="111">
    <xf numFmtId="0" fontId="0" fillId="0" borderId="0" xfId="0"/>
    <xf numFmtId="43" fontId="6" fillId="0" borderId="0" xfId="1" applyFont="1"/>
    <xf numFmtId="43" fontId="6" fillId="11" borderId="0" xfId="1" applyFont="1" applyFill="1"/>
    <xf numFmtId="43" fontId="6" fillId="0" borderId="0" xfId="1" applyFont="1" applyProtection="1">
      <protection hidden="1"/>
    </xf>
    <xf numFmtId="43" fontId="6" fillId="11" borderId="0" xfId="1" applyFont="1" applyFill="1" applyProtection="1">
      <protection hidden="1"/>
    </xf>
    <xf numFmtId="43" fontId="6" fillId="0" borderId="0" xfId="1" applyFont="1" applyAlignment="1" applyProtection="1">
      <protection hidden="1"/>
    </xf>
    <xf numFmtId="43" fontId="6" fillId="11" borderId="0" xfId="1" applyFont="1" applyFill="1" applyAlignment="1" applyProtection="1">
      <protection hidden="1"/>
    </xf>
    <xf numFmtId="43" fontId="8" fillId="0" borderId="0" xfId="1" applyFont="1" applyProtection="1">
      <protection hidden="1"/>
    </xf>
    <xf numFmtId="43" fontId="8" fillId="0" borderId="4" xfId="1" applyFont="1" applyBorder="1" applyProtection="1">
      <protection hidden="1"/>
    </xf>
    <xf numFmtId="43" fontId="6" fillId="0" borderId="4" xfId="1" applyFont="1" applyBorder="1" applyProtection="1">
      <protection hidden="1"/>
    </xf>
    <xf numFmtId="43" fontId="6" fillId="8" borderId="0" xfId="1" applyFont="1" applyFill="1" applyProtection="1">
      <protection hidden="1"/>
    </xf>
    <xf numFmtId="43" fontId="6" fillId="0" borderId="0" xfId="1" applyFont="1" applyFill="1" applyProtection="1">
      <protection hidden="1"/>
    </xf>
    <xf numFmtId="43" fontId="7" fillId="10" borderId="2" xfId="1" applyFont="1" applyFill="1" applyBorder="1" applyProtection="1">
      <protection hidden="1"/>
    </xf>
    <xf numFmtId="43" fontId="10" fillId="0" borderId="5" xfId="1" applyFont="1" applyBorder="1" applyProtection="1">
      <protection hidden="1"/>
    </xf>
    <xf numFmtId="43" fontId="10" fillId="0" borderId="4" xfId="1" applyFont="1" applyBorder="1" applyProtection="1">
      <protection hidden="1"/>
    </xf>
    <xf numFmtId="43" fontId="11" fillId="11" borderId="0" xfId="1" applyFont="1" applyFill="1" applyBorder="1" applyProtection="1">
      <protection hidden="1"/>
    </xf>
    <xf numFmtId="43" fontId="11" fillId="0" borderId="0" xfId="1" applyFont="1" applyBorder="1" applyProtection="1">
      <protection hidden="1"/>
    </xf>
    <xf numFmtId="43" fontId="9" fillId="2" borderId="0" xfId="1" applyFont="1" applyFill="1" applyBorder="1"/>
    <xf numFmtId="43" fontId="12" fillId="0" borderId="0" xfId="1" applyFont="1" applyProtection="1">
      <protection hidden="1"/>
    </xf>
    <xf numFmtId="43" fontId="6" fillId="0" borderId="6" xfId="1" applyFont="1" applyFill="1" applyBorder="1" applyProtection="1">
      <protection hidden="1"/>
    </xf>
    <xf numFmtId="43" fontId="6" fillId="0" borderId="6" xfId="1" applyFont="1" applyBorder="1" applyProtection="1">
      <protection hidden="1"/>
    </xf>
    <xf numFmtId="43" fontId="6" fillId="8" borderId="3" xfId="1" applyFont="1" applyFill="1" applyBorder="1" applyProtection="1">
      <protection hidden="1"/>
    </xf>
    <xf numFmtId="43" fontId="12" fillId="0" borderId="0" xfId="1" applyFont="1" applyBorder="1" applyProtection="1">
      <protection hidden="1"/>
    </xf>
    <xf numFmtId="43" fontId="12" fillId="0" borderId="0" xfId="0" applyNumberFormat="1" applyFont="1" applyProtection="1">
      <protection hidden="1"/>
    </xf>
    <xf numFmtId="43" fontId="6" fillId="0" borderId="3" xfId="1" applyFont="1" applyBorder="1" applyProtection="1">
      <protection hidden="1"/>
    </xf>
    <xf numFmtId="43" fontId="12" fillId="0" borderId="0" xfId="1" applyNumberFormat="1" applyFont="1" applyProtection="1">
      <protection hidden="1"/>
    </xf>
    <xf numFmtId="43" fontId="6" fillId="0" borderId="0" xfId="1" applyFont="1" applyBorder="1" applyProtection="1">
      <protection hidden="1"/>
    </xf>
    <xf numFmtId="43" fontId="6" fillId="0" borderId="5" xfId="1" applyFont="1" applyBorder="1" applyProtection="1">
      <protection hidden="1"/>
    </xf>
    <xf numFmtId="43" fontId="6" fillId="0" borderId="7" xfId="1" applyFont="1" applyBorder="1" applyProtection="1">
      <protection hidden="1"/>
    </xf>
    <xf numFmtId="43" fontId="6" fillId="0" borderId="8" xfId="1" applyFont="1" applyBorder="1" applyProtection="1">
      <protection hidden="1"/>
    </xf>
    <xf numFmtId="43" fontId="6" fillId="0" borderId="9" xfId="1" applyFont="1" applyBorder="1" applyProtection="1">
      <protection hidden="1"/>
    </xf>
    <xf numFmtId="0" fontId="6" fillId="0" borderId="0" xfId="1" applyNumberFormat="1" applyFont="1"/>
    <xf numFmtId="0" fontId="7" fillId="7" borderId="0" xfId="1" applyNumberFormat="1" applyFont="1" applyFill="1" applyProtection="1"/>
    <xf numFmtId="0" fontId="6" fillId="0" borderId="0" xfId="1" applyNumberFormat="1" applyFont="1" applyProtection="1"/>
    <xf numFmtId="0" fontId="8" fillId="0" borderId="0" xfId="1" applyNumberFormat="1" applyFont="1" applyProtection="1"/>
    <xf numFmtId="0" fontId="8" fillId="0" borderId="0" xfId="1" applyNumberFormat="1" applyFont="1"/>
    <xf numFmtId="0" fontId="6" fillId="0" borderId="0" xfId="1" applyNumberFormat="1" applyFont="1" applyProtection="1">
      <protection hidden="1"/>
    </xf>
    <xf numFmtId="14" fontId="5" fillId="5" borderId="0" xfId="1" applyNumberFormat="1" applyFont="1" applyFill="1" applyBorder="1" applyAlignment="1">
      <alignment horizontal="center" vertical="center" wrapText="1"/>
    </xf>
    <xf numFmtId="0" fontId="5" fillId="5" borderId="0" xfId="1" applyNumberFormat="1" applyFont="1" applyFill="1" applyBorder="1" applyAlignment="1">
      <alignment horizontal="center" vertical="center" wrapText="1"/>
    </xf>
    <xf numFmtId="43" fontId="5" fillId="6" borderId="0" xfId="1" applyFont="1" applyFill="1" applyBorder="1" applyAlignment="1">
      <alignment horizontal="center" vertical="center" wrapText="1"/>
    </xf>
    <xf numFmtId="43" fontId="5" fillId="12" borderId="0" xfId="1" applyFont="1" applyFill="1" applyBorder="1" applyAlignment="1">
      <alignment horizontal="center" vertical="center"/>
    </xf>
    <xf numFmtId="0" fontId="5" fillId="3" borderId="0" xfId="1" applyNumberFormat="1" applyFont="1" applyFill="1" applyBorder="1" applyAlignment="1">
      <alignment horizontal="center" vertical="center" wrapText="1"/>
    </xf>
    <xf numFmtId="43" fontId="5" fillId="3" borderId="0" xfId="1" applyFont="1" applyFill="1" applyBorder="1" applyAlignment="1">
      <alignment horizontal="center" vertical="center" wrapText="1"/>
    </xf>
    <xf numFmtId="43" fontId="5" fillId="13" borderId="0" xfId="1" applyFont="1" applyFill="1" applyBorder="1" applyAlignment="1">
      <alignment horizontal="center" vertical="center"/>
    </xf>
    <xf numFmtId="43" fontId="5" fillId="4" borderId="0" xfId="1" applyFont="1" applyFill="1" applyBorder="1" applyAlignment="1">
      <alignment horizontal="center" vertical="center" wrapText="1"/>
    </xf>
    <xf numFmtId="43" fontId="6" fillId="0" borderId="0" xfId="1" applyFont="1" applyBorder="1" applyAlignment="1">
      <alignment horizontal="center" vertical="center" wrapText="1"/>
    </xf>
    <xf numFmtId="43" fontId="6" fillId="0" borderId="0" xfId="1" applyFont="1" applyBorder="1" applyAlignment="1">
      <alignment wrapText="1"/>
    </xf>
    <xf numFmtId="14" fontId="6" fillId="0" borderId="0" xfId="1" applyNumberFormat="1" applyFont="1" applyBorder="1"/>
    <xf numFmtId="0" fontId="6" fillId="0" borderId="0" xfId="1" applyNumberFormat="1" applyFont="1" applyBorder="1"/>
    <xf numFmtId="43" fontId="6" fillId="0" borderId="0" xfId="1" applyFont="1" applyBorder="1"/>
    <xf numFmtId="43" fontId="5" fillId="12" borderId="0" xfId="1" applyFont="1" applyFill="1" applyBorder="1"/>
    <xf numFmtId="43" fontId="5" fillId="13" borderId="0" xfId="1" applyFont="1" applyFill="1" applyBorder="1"/>
    <xf numFmtId="43" fontId="13" fillId="0" borderId="0" xfId="1" applyFont="1" applyFill="1" applyBorder="1"/>
    <xf numFmtId="43" fontId="14" fillId="0" borderId="0" xfId="1" applyFont="1" applyFill="1" applyBorder="1"/>
    <xf numFmtId="43" fontId="6" fillId="0" borderId="0" xfId="1" applyNumberFormat="1" applyFont="1" applyBorder="1"/>
    <xf numFmtId="43" fontId="9" fillId="8" borderId="3" xfId="1" applyFont="1" applyFill="1" applyBorder="1"/>
    <xf numFmtId="0" fontId="13" fillId="0" borderId="0" xfId="6" applyNumberFormat="1" applyFont="1" applyFill="1" applyBorder="1" applyAlignment="1">
      <alignment horizontal="left"/>
    </xf>
    <xf numFmtId="43" fontId="13" fillId="0" borderId="0" xfId="3" applyFont="1" applyFill="1" applyBorder="1" applyAlignment="1">
      <alignment horizontal="left"/>
    </xf>
    <xf numFmtId="14" fontId="6" fillId="0" borderId="0" xfId="0" applyNumberFormat="1" applyFont="1" applyBorder="1"/>
    <xf numFmtId="0" fontId="6" fillId="0" borderId="0" xfId="0" applyNumberFormat="1" applyFont="1" applyBorder="1"/>
    <xf numFmtId="43" fontId="6" fillId="0" borderId="0" xfId="0" applyNumberFormat="1" applyFont="1" applyBorder="1"/>
    <xf numFmtId="43" fontId="5" fillId="12" borderId="0" xfId="0" applyNumberFormat="1" applyFont="1" applyFill="1" applyBorder="1"/>
    <xf numFmtId="43" fontId="5" fillId="13" borderId="0" xfId="0" applyNumberFormat="1" applyFont="1" applyFill="1" applyBorder="1"/>
    <xf numFmtId="0" fontId="3" fillId="0" borderId="0" xfId="0" applyNumberFormat="1" applyFont="1" applyBorder="1"/>
    <xf numFmtId="43" fontId="13" fillId="0" borderId="0" xfId="3" applyNumberFormat="1" applyFont="1" applyBorder="1" applyAlignment="1">
      <alignment horizontal="left"/>
    </xf>
    <xf numFmtId="43" fontId="15" fillId="0" borderId="0" xfId="1" applyFont="1" applyProtection="1">
      <protection hidden="1"/>
    </xf>
    <xf numFmtId="43" fontId="15" fillId="0" borderId="0" xfId="1" applyNumberFormat="1" applyFont="1" applyProtection="1">
      <protection hidden="1"/>
    </xf>
    <xf numFmtId="43" fontId="15" fillId="0" borderId="0" xfId="0" applyNumberFormat="1" applyFont="1" applyProtection="1">
      <protection hidden="1"/>
    </xf>
    <xf numFmtId="43" fontId="15" fillId="0" borderId="7" xfId="1" applyNumberFormat="1" applyFont="1" applyBorder="1" applyProtection="1">
      <protection hidden="1"/>
    </xf>
    <xf numFmtId="43" fontId="16" fillId="0" borderId="0" xfId="0" applyNumberFormat="1" applyFont="1" applyProtection="1">
      <protection hidden="1"/>
    </xf>
    <xf numFmtId="43" fontId="13" fillId="0" borderId="0" xfId="0" applyNumberFormat="1" applyFont="1" applyFill="1" applyBorder="1"/>
    <xf numFmtId="43" fontId="6" fillId="0" borderId="0" xfId="0" applyNumberFormat="1" applyFont="1" applyProtection="1">
      <protection hidden="1"/>
    </xf>
    <xf numFmtId="43" fontId="6" fillId="0" borderId="7" xfId="1" applyNumberFormat="1" applyFont="1" applyBorder="1" applyProtection="1">
      <protection hidden="1"/>
    </xf>
    <xf numFmtId="43" fontId="6" fillId="0" borderId="0" xfId="1" applyNumberFormat="1" applyFont="1" applyProtection="1">
      <protection hidden="1"/>
    </xf>
    <xf numFmtId="0" fontId="17" fillId="0" borderId="0" xfId="0" applyNumberFormat="1" applyFont="1" applyProtection="1"/>
    <xf numFmtId="43" fontId="18" fillId="14" borderId="0" xfId="0" applyNumberFormat="1" applyFont="1" applyFill="1" applyBorder="1"/>
    <xf numFmtId="0" fontId="17" fillId="0" borderId="0" xfId="0" applyNumberFormat="1" applyFont="1"/>
    <xf numFmtId="0" fontId="18" fillId="14" borderId="0" xfId="0" applyFont="1" applyFill="1" applyBorder="1"/>
    <xf numFmtId="0" fontId="17" fillId="0" borderId="0" xfId="1" applyNumberFormat="1" applyFont="1" applyProtection="1"/>
    <xf numFmtId="43" fontId="18" fillId="14" borderId="0" xfId="1" applyNumberFormat="1" applyFont="1" applyFill="1" applyBorder="1"/>
    <xf numFmtId="0" fontId="17" fillId="0" borderId="0" xfId="1" applyNumberFormat="1" applyFont="1"/>
    <xf numFmtId="43" fontId="18" fillId="14" borderId="0" xfId="1" applyFont="1" applyFill="1" applyBorder="1"/>
    <xf numFmtId="0" fontId="6" fillId="0" borderId="0" xfId="0" applyNumberFormat="1" applyFont="1" applyProtection="1">
      <protection hidden="1"/>
    </xf>
    <xf numFmtId="43" fontId="6" fillId="0" borderId="0" xfId="10" applyFont="1" applyFill="1"/>
    <xf numFmtId="43" fontId="8" fillId="0" borderId="0" xfId="10" applyFont="1" applyFill="1"/>
    <xf numFmtId="43" fontId="6" fillId="0" borderId="0" xfId="11" applyFont="1" applyFill="1" applyAlignment="1">
      <alignment horizontal="left" vertical="center"/>
    </xf>
    <xf numFmtId="14" fontId="6" fillId="0" borderId="0" xfId="10" applyNumberFormat="1" applyFont="1" applyFill="1"/>
    <xf numFmtId="43" fontId="19" fillId="0" borderId="0" xfId="10" applyFont="1" applyFill="1"/>
    <xf numFmtId="14" fontId="19" fillId="0" borderId="0" xfId="10" applyNumberFormat="1" applyFont="1" applyFill="1"/>
    <xf numFmtId="43" fontId="6" fillId="0" borderId="0" xfId="10" applyFont="1" applyFill="1" applyAlignment="1">
      <alignment horizontal="center"/>
    </xf>
    <xf numFmtId="43" fontId="20" fillId="0" borderId="0" xfId="10" applyFont="1" applyFill="1" applyAlignment="1">
      <alignment horizontal="center" vertical="center" wrapText="1"/>
    </xf>
    <xf numFmtId="164" fontId="20" fillId="0" borderId="0" xfId="10" applyNumberFormat="1" applyFont="1" applyFill="1" applyAlignment="1">
      <alignment horizontal="center" vertical="center" wrapText="1"/>
    </xf>
    <xf numFmtId="0" fontId="6" fillId="0" borderId="0" xfId="10" applyNumberFormat="1" applyFont="1" applyFill="1"/>
    <xf numFmtId="0" fontId="19" fillId="0" borderId="0" xfId="10" applyNumberFormat="1" applyFont="1" applyFill="1"/>
    <xf numFmtId="165" fontId="20" fillId="0" borderId="0" xfId="1" applyNumberFormat="1" applyFont="1" applyFill="1"/>
    <xf numFmtId="165" fontId="20" fillId="0" borderId="0" xfId="1" applyNumberFormat="1" applyFont="1" applyFill="1" applyAlignment="1">
      <alignment horizontal="center" vertical="center" wrapText="1"/>
    </xf>
    <xf numFmtId="165" fontId="6" fillId="0" borderId="0" xfId="1" applyNumberFormat="1" applyFont="1" applyFill="1"/>
    <xf numFmtId="14" fontId="20" fillId="12" borderId="0" xfId="10" applyNumberFormat="1" applyFont="1" applyFill="1" applyAlignment="1">
      <alignment horizontal="center" vertical="center" wrapText="1"/>
    </xf>
    <xf numFmtId="0" fontId="20" fillId="12" borderId="0" xfId="10" applyNumberFormat="1" applyFont="1" applyFill="1" applyAlignment="1">
      <alignment horizontal="center" vertical="center" wrapText="1"/>
    </xf>
    <xf numFmtId="43" fontId="20" fillId="12" borderId="0" xfId="10" applyFont="1" applyFill="1" applyAlignment="1">
      <alignment horizontal="center" vertical="center" wrapText="1"/>
    </xf>
    <xf numFmtId="43" fontId="5" fillId="12" borderId="0" xfId="10" applyFont="1" applyFill="1"/>
    <xf numFmtId="43" fontId="7" fillId="9" borderId="1" xfId="1" applyFont="1" applyFill="1" applyBorder="1" applyProtection="1">
      <protection hidden="1"/>
    </xf>
    <xf numFmtId="165" fontId="6" fillId="15" borderId="0" xfId="1" applyNumberFormat="1" applyFont="1" applyFill="1"/>
    <xf numFmtId="165" fontId="19" fillId="15" borderId="0" xfId="1" applyNumberFormat="1" applyFont="1" applyFill="1"/>
    <xf numFmtId="43" fontId="6" fillId="15" borderId="0" xfId="10" applyFont="1" applyFill="1"/>
    <xf numFmtId="43" fontId="19" fillId="15" borderId="0" xfId="10" applyNumberFormat="1" applyFont="1" applyFill="1"/>
    <xf numFmtId="43" fontId="19" fillId="15" borderId="0" xfId="10" applyFont="1" applyFill="1" applyAlignment="1">
      <alignment horizontal="left" vertical="center"/>
    </xf>
    <xf numFmtId="43" fontId="19" fillId="15" borderId="0" xfId="10" applyFont="1" applyFill="1"/>
    <xf numFmtId="43" fontId="6" fillId="15" borderId="0" xfId="10" applyNumberFormat="1" applyFont="1" applyFill="1"/>
    <xf numFmtId="43" fontId="6" fillId="15" borderId="0" xfId="10" applyFont="1" applyFill="1" applyAlignment="1">
      <alignment horizontal="left" vertical="center"/>
    </xf>
    <xf numFmtId="43" fontId="6" fillId="15" borderId="0" xfId="1" applyFont="1" applyFill="1"/>
  </cellXfs>
  <cellStyles count="13">
    <cellStyle name="Comma" xfId="1" builtinId="3"/>
    <cellStyle name="Comma 10" xfId="9"/>
    <cellStyle name="Comma 11" xfId="3"/>
    <cellStyle name="Comma 2" xfId="10"/>
    <cellStyle name="Comma 3" xfId="8"/>
    <cellStyle name="Comma 4" xfId="11"/>
    <cellStyle name="Normal" xfId="0" builtinId="0"/>
    <cellStyle name="Normal 2" xfId="2"/>
    <cellStyle name="Normal 2 2" xfId="7"/>
    <cellStyle name="Normal 2 3" xfId="4"/>
    <cellStyle name="Normal 2 4" xfId="12"/>
    <cellStyle name="Normal 3" xfId="6"/>
    <cellStyle name="Normal 5" xfId="5"/>
  </cellStyles>
  <dxfs count="1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35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4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8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9" formatCode="dd/mm/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9" formatCode="dd/mm/yy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 patternType="lightGray">
          <fgColor auto="1"/>
          <bgColor rgb="FFFFFF00"/>
        </patternFill>
      </fill>
    </dxf>
    <dxf>
      <font>
        <b/>
        <i val="0"/>
        <strike val="0"/>
        <color theme="0"/>
      </font>
      <fill>
        <patternFill patternType="gray0625">
          <fgColor theme="0"/>
          <bgColor rgb="FFFF0000"/>
        </patternFill>
      </fill>
    </dxf>
    <dxf>
      <font>
        <b/>
        <i/>
        <strike val="0"/>
        <color theme="0"/>
      </font>
      <fill>
        <patternFill patternType="lightGrid">
          <fgColor rgb="FF002060"/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 patternType="gray0625">
          <fgColor rgb="FFFF0000"/>
        </patternFill>
      </fill>
    </dxf>
    <dxf>
      <font>
        <b/>
        <i val="0"/>
        <strike val="0"/>
        <color theme="0"/>
      </font>
      <fill>
        <patternFill patternType="gray0625">
          <fgColor theme="0"/>
          <bgColor rgb="FFFF0000"/>
        </patternFill>
      </fill>
    </dxf>
    <dxf>
      <font>
        <b/>
        <i/>
        <strike val="0"/>
        <color theme="0"/>
      </font>
      <fill>
        <patternFill patternType="lightGrid">
          <fgColor rgb="FF002060"/>
          <bgColor rgb="FFFF0000"/>
        </patternFill>
      </fill>
    </dxf>
    <dxf>
      <fill>
        <patternFill patternType="lightGray">
          <fgColor rgb="FFFFFF00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9" formatCode="dd/m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esktop\16-17\Mya%20Gae%2016-17(%20Su%20War)\Mya%20Gae%2016-17%20Combin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e%20Swe%20Thynn\Desktop\17-18\Shwe%20Latha\Cash%2017-1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we%20Swe%20Thynn\Desktop\17-18\Shwe%20Latha\Shwe%20Latha%2017-18%20(%204%205%206%20)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G"/>
      <sheetName val="2% WT "/>
      <sheetName val="2% 5% All"/>
      <sheetName val="Sales Export"/>
      <sheetName val="Sheet1"/>
      <sheetName val="Purchase Export Beans"/>
      <sheetName val="Revenue"/>
      <sheetName val="COS"/>
      <sheetName val="W"/>
      <sheetName val="CF"/>
      <sheetName val="R E"/>
      <sheetName val="CIE "/>
      <sheetName val="Tri(C)"/>
      <sheetName val="FP(C)"/>
      <sheetName val="IS(C)"/>
      <sheetName val="IS(C) (2)"/>
      <sheetName val="Pur &amp; Sales Import(2)"/>
      <sheetName val="Pur &amp; Sales Import(1)"/>
      <sheetName val="Pur &amp; Sales Export (2)"/>
      <sheetName val="Re-export(1-a)"/>
      <sheetName val="Import-(3) "/>
      <sheetName val="Export-(4)"/>
      <sheetName val="Admin- (5)"/>
      <sheetName val="Salary-5-a"/>
      <sheetName val="Selling&amp; Dist;-(6)"/>
      <sheetName val="Dep;-(7) C+K"/>
      <sheetName val="2%+5%-(8)"/>
      <sheetName val="Bank&amp; Cash(9)"/>
      <sheetName val="payable-10"/>
      <sheetName val="2%5% Details"/>
      <sheetName val="2% W Tax "/>
      <sheetName val="Working TB"/>
      <sheetName val="Detail of import Expenses"/>
      <sheetName val="Detail of Export Expenses"/>
      <sheetName val="Export Lists"/>
      <sheetName val="Rece 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7">
          <cell r="E7">
            <v>2885167500</v>
          </cell>
        </row>
      </sheetData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>
        <row r="20">
          <cell r="C20">
            <v>74323030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-K"/>
    </sheetNames>
    <sheetDataSet>
      <sheetData sheetId="0">
        <row r="1">
          <cell r="A1" t="str">
            <v>Shwe Latha Co.,Ltd.</v>
          </cell>
        </row>
        <row r="2">
          <cell r="A2" t="str">
            <v>For the period from 1 Apr 2017 to 31 Mar 2018</v>
          </cell>
        </row>
        <row r="3">
          <cell r="A3" t="str">
            <v xml:space="preserve">Cash Account </v>
          </cell>
        </row>
        <row r="4">
          <cell r="F4" t="str">
            <v>Amount-kyats</v>
          </cell>
        </row>
        <row r="5">
          <cell r="A5" t="str">
            <v>Date</v>
          </cell>
          <cell r="D5" t="str">
            <v>Account Head</v>
          </cell>
          <cell r="E5" t="str">
            <v xml:space="preserve">Debit 
Cash Receipts
</v>
          </cell>
          <cell r="F5" t="str">
            <v xml:space="preserve">Credit 
Cash Payments
</v>
          </cell>
        </row>
        <row r="6">
          <cell r="A6">
            <v>42461</v>
          </cell>
        </row>
        <row r="7">
          <cell r="A7">
            <v>42826</v>
          </cell>
          <cell r="D7" t="str">
            <v>Books &amp; Periodicals</v>
          </cell>
          <cell r="F7">
            <v>2500</v>
          </cell>
        </row>
        <row r="8">
          <cell r="A8">
            <v>42826</v>
          </cell>
          <cell r="D8" t="str">
            <v>Rate &amp; Taxes</v>
          </cell>
          <cell r="F8">
            <v>1500</v>
          </cell>
        </row>
        <row r="9">
          <cell r="A9">
            <v>42826</v>
          </cell>
          <cell r="D9" t="str">
            <v>Communication charges</v>
          </cell>
          <cell r="F9">
            <v>33150</v>
          </cell>
        </row>
        <row r="10">
          <cell r="A10">
            <v>42827</v>
          </cell>
          <cell r="D10" t="str">
            <v>Service Expenses</v>
          </cell>
          <cell r="F10">
            <v>800</v>
          </cell>
        </row>
        <row r="11">
          <cell r="A11">
            <v>42828</v>
          </cell>
          <cell r="D11" t="str">
            <v>Lighting &amp; Power</v>
          </cell>
          <cell r="F11">
            <v>400</v>
          </cell>
        </row>
        <row r="12">
          <cell r="A12">
            <v>42829</v>
          </cell>
          <cell r="D12" t="str">
            <v xml:space="preserve">Office Expenses </v>
          </cell>
          <cell r="F12">
            <v>1400</v>
          </cell>
        </row>
        <row r="13">
          <cell r="A13">
            <v>42830</v>
          </cell>
          <cell r="D13" t="str">
            <v>Communication charges</v>
          </cell>
          <cell r="F13">
            <v>6000</v>
          </cell>
        </row>
        <row r="14">
          <cell r="A14">
            <v>42830</v>
          </cell>
          <cell r="D14" t="str">
            <v>Fuel &amp; Oil</v>
          </cell>
          <cell r="F14">
            <v>22000</v>
          </cell>
        </row>
        <row r="15">
          <cell r="A15">
            <v>42830</v>
          </cell>
          <cell r="D15" t="str">
            <v>Export Expenses</v>
          </cell>
          <cell r="F15">
            <v>5000</v>
          </cell>
        </row>
        <row r="16">
          <cell r="A16">
            <v>42830</v>
          </cell>
          <cell r="D16" t="str">
            <v>Export Expenses</v>
          </cell>
          <cell r="F16">
            <v>30000</v>
          </cell>
        </row>
        <row r="17">
          <cell r="A17">
            <v>42830</v>
          </cell>
          <cell r="D17" t="str">
            <v>Export Expenses</v>
          </cell>
          <cell r="F17">
            <v>8500</v>
          </cell>
        </row>
        <row r="18">
          <cell r="A18">
            <v>42830</v>
          </cell>
          <cell r="D18" t="str">
            <v>Export Expenses</v>
          </cell>
          <cell r="F18">
            <v>3000</v>
          </cell>
        </row>
        <row r="19">
          <cell r="A19">
            <v>42831</v>
          </cell>
          <cell r="D19" t="str">
            <v>Communication charges</v>
          </cell>
          <cell r="F19">
            <v>40750</v>
          </cell>
        </row>
        <row r="20">
          <cell r="A20">
            <v>42831</v>
          </cell>
          <cell r="D20" t="str">
            <v>Export Expenses</v>
          </cell>
          <cell r="F20">
            <v>3000</v>
          </cell>
        </row>
        <row r="21">
          <cell r="A21">
            <v>42831</v>
          </cell>
          <cell r="D21" t="str">
            <v>Export Expenses</v>
          </cell>
          <cell r="F21">
            <v>89600</v>
          </cell>
        </row>
        <row r="22">
          <cell r="A22">
            <v>42832</v>
          </cell>
          <cell r="D22" t="str">
            <v xml:space="preserve">Office Expenses </v>
          </cell>
          <cell r="F22">
            <v>900</v>
          </cell>
        </row>
        <row r="23">
          <cell r="A23">
            <v>42832</v>
          </cell>
          <cell r="D23" t="str">
            <v>Lighting &amp; Power</v>
          </cell>
          <cell r="F23">
            <v>2400</v>
          </cell>
        </row>
        <row r="24">
          <cell r="A24">
            <v>42833</v>
          </cell>
          <cell r="D24" t="str">
            <v xml:space="preserve">Office Expenses </v>
          </cell>
          <cell r="F24">
            <v>5300</v>
          </cell>
        </row>
        <row r="25">
          <cell r="A25">
            <v>42834</v>
          </cell>
          <cell r="D25" t="str">
            <v>Service Expenses</v>
          </cell>
          <cell r="F25">
            <v>800</v>
          </cell>
        </row>
        <row r="26">
          <cell r="A26">
            <v>42835</v>
          </cell>
          <cell r="D26" t="str">
            <v xml:space="preserve">Office Expenses </v>
          </cell>
          <cell r="F26">
            <v>13500</v>
          </cell>
        </row>
        <row r="27">
          <cell r="A27">
            <v>42835</v>
          </cell>
          <cell r="D27" t="str">
            <v>Bank Charges</v>
          </cell>
          <cell r="F27">
            <v>1000</v>
          </cell>
        </row>
        <row r="28">
          <cell r="A28">
            <v>42835</v>
          </cell>
          <cell r="D28" t="str">
            <v>Bank Charges</v>
          </cell>
          <cell r="F28">
            <v>1000</v>
          </cell>
        </row>
        <row r="29">
          <cell r="A29">
            <v>42835</v>
          </cell>
          <cell r="D29" t="str">
            <v>Bank Charges</v>
          </cell>
          <cell r="F29">
            <v>3000</v>
          </cell>
        </row>
        <row r="30">
          <cell r="A30">
            <v>42837</v>
          </cell>
          <cell r="D30" t="str">
            <v>Lighting &amp; Power</v>
          </cell>
          <cell r="F30">
            <v>800</v>
          </cell>
        </row>
        <row r="31">
          <cell r="A31">
            <v>42837</v>
          </cell>
          <cell r="D31" t="str">
            <v xml:space="preserve">Office Expenses </v>
          </cell>
          <cell r="F31">
            <v>700</v>
          </cell>
        </row>
        <row r="32">
          <cell r="A32">
            <v>42837</v>
          </cell>
          <cell r="D32" t="str">
            <v>Meal Expenses</v>
          </cell>
          <cell r="F32">
            <v>11000</v>
          </cell>
        </row>
        <row r="33">
          <cell r="A33">
            <v>42837</v>
          </cell>
          <cell r="D33" t="str">
            <v>Meal Expenses</v>
          </cell>
          <cell r="F33">
            <v>10200</v>
          </cell>
        </row>
        <row r="34">
          <cell r="A34">
            <v>42840</v>
          </cell>
          <cell r="D34" t="str">
            <v>Service Expenses</v>
          </cell>
          <cell r="F34">
            <v>15000</v>
          </cell>
        </row>
        <row r="35">
          <cell r="A35">
            <v>42842</v>
          </cell>
          <cell r="D35" t="str">
            <v>Service Expenses</v>
          </cell>
          <cell r="F35">
            <v>800</v>
          </cell>
        </row>
        <row r="36">
          <cell r="A36">
            <v>42842</v>
          </cell>
          <cell r="D36" t="str">
            <v xml:space="preserve">Office Expenses </v>
          </cell>
          <cell r="F36">
            <v>200</v>
          </cell>
        </row>
        <row r="37">
          <cell r="A37">
            <v>42843</v>
          </cell>
          <cell r="D37" t="str">
            <v>Lighting &amp; Power</v>
          </cell>
          <cell r="F37">
            <v>27900</v>
          </cell>
        </row>
        <row r="38">
          <cell r="A38">
            <v>42844</v>
          </cell>
          <cell r="D38" t="str">
            <v xml:space="preserve">Office Expenses </v>
          </cell>
          <cell r="F38">
            <v>1000</v>
          </cell>
        </row>
        <row r="39">
          <cell r="A39">
            <v>42844</v>
          </cell>
          <cell r="D39" t="str">
            <v xml:space="preserve">Office Expenses </v>
          </cell>
          <cell r="F39">
            <v>1800</v>
          </cell>
        </row>
        <row r="40">
          <cell r="A40">
            <v>42844</v>
          </cell>
          <cell r="D40" t="str">
            <v>Service Expenses</v>
          </cell>
          <cell r="F40">
            <v>2600</v>
          </cell>
        </row>
        <row r="41">
          <cell r="A41">
            <v>42845</v>
          </cell>
          <cell r="D41" t="str">
            <v>Lighting &amp; Power</v>
          </cell>
          <cell r="F41">
            <v>1500</v>
          </cell>
        </row>
        <row r="42">
          <cell r="A42">
            <v>42847</v>
          </cell>
          <cell r="D42" t="str">
            <v>Fuel &amp; Oil</v>
          </cell>
          <cell r="F42">
            <v>20000</v>
          </cell>
        </row>
        <row r="43">
          <cell r="A43">
            <v>42850</v>
          </cell>
          <cell r="D43" t="str">
            <v>Transfer F.C</v>
          </cell>
          <cell r="E43">
            <v>50700000</v>
          </cell>
        </row>
        <row r="44">
          <cell r="A44">
            <v>42850</v>
          </cell>
          <cell r="D44" t="str">
            <v>Communication charges</v>
          </cell>
          <cell r="F44">
            <v>35700</v>
          </cell>
        </row>
        <row r="45">
          <cell r="A45">
            <v>42850</v>
          </cell>
          <cell r="D45" t="str">
            <v>Rate &amp; Taxes</v>
          </cell>
          <cell r="F45">
            <v>2050</v>
          </cell>
        </row>
        <row r="46">
          <cell r="A46">
            <v>42851</v>
          </cell>
          <cell r="D46" t="str">
            <v>Service Expenses</v>
          </cell>
          <cell r="F46">
            <v>800</v>
          </cell>
        </row>
        <row r="47">
          <cell r="A47">
            <v>42852</v>
          </cell>
          <cell r="D47" t="str">
            <v xml:space="preserve">Office Expenses </v>
          </cell>
          <cell r="F47">
            <v>700</v>
          </cell>
        </row>
        <row r="48">
          <cell r="A48">
            <v>42854</v>
          </cell>
          <cell r="D48" t="str">
            <v xml:space="preserve">Office Expenses </v>
          </cell>
          <cell r="F48">
            <v>500</v>
          </cell>
        </row>
        <row r="49">
          <cell r="A49">
            <v>42854</v>
          </cell>
          <cell r="D49" t="str">
            <v>Salaries</v>
          </cell>
          <cell r="F49">
            <v>890000</v>
          </cell>
        </row>
        <row r="50">
          <cell r="A50">
            <v>42855</v>
          </cell>
          <cell r="D50" t="str">
            <v>Payable Trade</v>
          </cell>
          <cell r="F50">
            <v>10700000</v>
          </cell>
        </row>
        <row r="51">
          <cell r="A51">
            <v>42855</v>
          </cell>
          <cell r="D51" t="str">
            <v>2% Advance I T (2017-2018)</v>
          </cell>
          <cell r="F51">
            <v>1021500</v>
          </cell>
        </row>
        <row r="52">
          <cell r="A52">
            <v>42855</v>
          </cell>
          <cell r="D52" t="str">
            <v>Advance</v>
          </cell>
          <cell r="E52">
            <v>55000000</v>
          </cell>
        </row>
        <row r="53">
          <cell r="A53">
            <v>42857</v>
          </cell>
          <cell r="D53" t="str">
            <v>Books &amp; Periodicals</v>
          </cell>
          <cell r="F53">
            <v>2500</v>
          </cell>
        </row>
        <row r="54">
          <cell r="A54">
            <v>42857</v>
          </cell>
          <cell r="D54" t="str">
            <v>Communication charges</v>
          </cell>
          <cell r="F54">
            <v>6000</v>
          </cell>
        </row>
        <row r="55">
          <cell r="A55">
            <v>42857</v>
          </cell>
          <cell r="D55" t="str">
            <v>Service Expenses</v>
          </cell>
          <cell r="F55">
            <v>800</v>
          </cell>
        </row>
        <row r="56">
          <cell r="A56">
            <v>42857</v>
          </cell>
          <cell r="D56" t="str">
            <v>Rate &amp; Taxes</v>
          </cell>
          <cell r="F56">
            <v>3000</v>
          </cell>
        </row>
        <row r="57">
          <cell r="A57">
            <v>42858</v>
          </cell>
          <cell r="D57" t="str">
            <v xml:space="preserve">Office Expenses </v>
          </cell>
          <cell r="F57">
            <v>3400</v>
          </cell>
        </row>
        <row r="58">
          <cell r="A58">
            <v>42861</v>
          </cell>
          <cell r="D58" t="str">
            <v xml:space="preserve">Office Expenses </v>
          </cell>
          <cell r="F58">
            <v>3000</v>
          </cell>
        </row>
        <row r="59">
          <cell r="A59">
            <v>42861</v>
          </cell>
          <cell r="D59" t="str">
            <v xml:space="preserve">Office Expenses </v>
          </cell>
          <cell r="F59">
            <v>700</v>
          </cell>
        </row>
        <row r="60">
          <cell r="A60">
            <v>42862</v>
          </cell>
          <cell r="D60" t="str">
            <v>Service Expenses</v>
          </cell>
          <cell r="F60">
            <v>7000</v>
          </cell>
        </row>
        <row r="61">
          <cell r="A61">
            <v>42862</v>
          </cell>
          <cell r="D61" t="str">
            <v>Repair &amp; Maintenance</v>
          </cell>
          <cell r="F61">
            <v>3000</v>
          </cell>
        </row>
        <row r="62">
          <cell r="A62">
            <v>42866</v>
          </cell>
          <cell r="D62" t="str">
            <v>Repair &amp; Maintenance</v>
          </cell>
          <cell r="F62">
            <v>39000</v>
          </cell>
        </row>
        <row r="63">
          <cell r="A63">
            <v>42866</v>
          </cell>
          <cell r="D63" t="str">
            <v xml:space="preserve">Office Expenses </v>
          </cell>
          <cell r="F63">
            <v>14200</v>
          </cell>
        </row>
        <row r="64">
          <cell r="A64">
            <v>42867</v>
          </cell>
          <cell r="D64" t="str">
            <v>Export Expenses</v>
          </cell>
          <cell r="F64">
            <v>40000</v>
          </cell>
        </row>
        <row r="65">
          <cell r="A65">
            <v>42867</v>
          </cell>
          <cell r="D65" t="str">
            <v>Export Expenses</v>
          </cell>
          <cell r="F65">
            <v>1000000</v>
          </cell>
        </row>
        <row r="66">
          <cell r="A66">
            <v>42868</v>
          </cell>
          <cell r="D66" t="str">
            <v>Export Expenses</v>
          </cell>
          <cell r="F66">
            <v>15800</v>
          </cell>
        </row>
        <row r="67">
          <cell r="A67">
            <v>42870</v>
          </cell>
          <cell r="D67" t="str">
            <v xml:space="preserve">Office Expenses </v>
          </cell>
          <cell r="F67">
            <v>23000</v>
          </cell>
        </row>
        <row r="68">
          <cell r="A68">
            <v>42870</v>
          </cell>
          <cell r="D68" t="str">
            <v>Export Expenses</v>
          </cell>
          <cell r="F68">
            <v>9000</v>
          </cell>
        </row>
        <row r="69">
          <cell r="A69">
            <v>42870</v>
          </cell>
          <cell r="D69" t="str">
            <v>Export Expenses</v>
          </cell>
          <cell r="F69">
            <v>3000</v>
          </cell>
        </row>
        <row r="70">
          <cell r="A70">
            <v>42871</v>
          </cell>
          <cell r="D70" t="str">
            <v>Communication charges</v>
          </cell>
          <cell r="F70">
            <v>40900</v>
          </cell>
        </row>
        <row r="71">
          <cell r="A71">
            <v>42871</v>
          </cell>
          <cell r="D71" t="str">
            <v xml:space="preserve">Office Expenses </v>
          </cell>
          <cell r="F71">
            <v>700</v>
          </cell>
        </row>
        <row r="72">
          <cell r="A72">
            <v>42872</v>
          </cell>
          <cell r="D72" t="str">
            <v xml:space="preserve">Office Expenses </v>
          </cell>
          <cell r="F72">
            <v>1200</v>
          </cell>
        </row>
        <row r="73">
          <cell r="A73">
            <v>42872</v>
          </cell>
          <cell r="D73" t="str">
            <v>Repair &amp; Maintenance</v>
          </cell>
          <cell r="F73">
            <v>10000</v>
          </cell>
        </row>
        <row r="74">
          <cell r="A74">
            <v>42872</v>
          </cell>
          <cell r="D74" t="str">
            <v xml:space="preserve">Office Expenses </v>
          </cell>
          <cell r="F74">
            <v>1200</v>
          </cell>
        </row>
        <row r="75">
          <cell r="A75">
            <v>42872</v>
          </cell>
          <cell r="D75" t="str">
            <v>Export Expenses</v>
          </cell>
          <cell r="F75">
            <v>2000</v>
          </cell>
        </row>
        <row r="76">
          <cell r="A76">
            <v>42872</v>
          </cell>
          <cell r="D76" t="str">
            <v>Export Expenses</v>
          </cell>
          <cell r="F76">
            <v>6300</v>
          </cell>
        </row>
        <row r="77">
          <cell r="A77">
            <v>42872</v>
          </cell>
          <cell r="D77" t="str">
            <v>Export Expenses</v>
          </cell>
          <cell r="F77">
            <v>541500</v>
          </cell>
        </row>
        <row r="78">
          <cell r="A78">
            <v>42873</v>
          </cell>
          <cell r="D78" t="str">
            <v>Lighting &amp; Power</v>
          </cell>
          <cell r="F78">
            <v>36300</v>
          </cell>
        </row>
        <row r="79">
          <cell r="A79">
            <v>42873</v>
          </cell>
          <cell r="D79" t="str">
            <v>Lighting &amp; Power</v>
          </cell>
          <cell r="F79">
            <v>500</v>
          </cell>
        </row>
        <row r="80">
          <cell r="A80">
            <v>42873</v>
          </cell>
          <cell r="D80" t="str">
            <v>Lighting &amp; Power</v>
          </cell>
          <cell r="F80">
            <v>105000</v>
          </cell>
        </row>
        <row r="81">
          <cell r="A81">
            <v>42873</v>
          </cell>
          <cell r="D81" t="str">
            <v>Service Expenses</v>
          </cell>
          <cell r="F81">
            <v>800</v>
          </cell>
        </row>
        <row r="82">
          <cell r="A82">
            <v>42873</v>
          </cell>
          <cell r="D82" t="str">
            <v>Export Expenses</v>
          </cell>
          <cell r="F82">
            <v>60000</v>
          </cell>
        </row>
        <row r="83">
          <cell r="A83">
            <v>42874</v>
          </cell>
          <cell r="D83" t="str">
            <v>Books &amp; Periodicals</v>
          </cell>
          <cell r="F83">
            <v>20800</v>
          </cell>
        </row>
        <row r="84">
          <cell r="A84">
            <v>42875</v>
          </cell>
          <cell r="D84" t="str">
            <v>Service Expenses</v>
          </cell>
          <cell r="F84">
            <v>3300</v>
          </cell>
        </row>
        <row r="85">
          <cell r="A85">
            <v>42875</v>
          </cell>
          <cell r="D85" t="str">
            <v xml:space="preserve">Office Expenses </v>
          </cell>
          <cell r="F85">
            <v>1800</v>
          </cell>
        </row>
        <row r="86">
          <cell r="A86">
            <v>42877</v>
          </cell>
          <cell r="D86" t="str">
            <v xml:space="preserve">Office Expenses </v>
          </cell>
          <cell r="F86">
            <v>700</v>
          </cell>
        </row>
        <row r="87">
          <cell r="A87">
            <v>42877</v>
          </cell>
          <cell r="D87" t="str">
            <v>Service Expenses</v>
          </cell>
          <cell r="F87">
            <v>800</v>
          </cell>
        </row>
        <row r="88">
          <cell r="A88">
            <v>42877</v>
          </cell>
          <cell r="D88" t="str">
            <v>Export Expenses</v>
          </cell>
          <cell r="F88">
            <v>8500</v>
          </cell>
        </row>
        <row r="89">
          <cell r="A89">
            <v>42877</v>
          </cell>
          <cell r="D89" t="str">
            <v>Export Expenses</v>
          </cell>
          <cell r="F89">
            <v>3000</v>
          </cell>
        </row>
        <row r="90">
          <cell r="A90">
            <v>42877</v>
          </cell>
          <cell r="D90" t="str">
            <v>2% Advance I T (2017-2018)</v>
          </cell>
          <cell r="F90">
            <v>1017375</v>
          </cell>
        </row>
        <row r="91">
          <cell r="A91">
            <v>42878</v>
          </cell>
          <cell r="D91" t="str">
            <v>Communication charges</v>
          </cell>
          <cell r="F91">
            <v>51800</v>
          </cell>
        </row>
        <row r="92">
          <cell r="A92">
            <v>42878</v>
          </cell>
          <cell r="D92" t="str">
            <v>Export Expenses</v>
          </cell>
          <cell r="F92">
            <v>3000</v>
          </cell>
        </row>
        <row r="93">
          <cell r="A93">
            <v>42878</v>
          </cell>
          <cell r="D93" t="str">
            <v>Export Expenses</v>
          </cell>
          <cell r="F93">
            <v>30000</v>
          </cell>
        </row>
        <row r="94">
          <cell r="A94">
            <v>42878</v>
          </cell>
          <cell r="D94" t="str">
            <v>Export Expenses</v>
          </cell>
          <cell r="F94">
            <v>15000</v>
          </cell>
        </row>
        <row r="95">
          <cell r="A95">
            <v>42879</v>
          </cell>
          <cell r="D95" t="str">
            <v>Export Expenses</v>
          </cell>
          <cell r="F95">
            <v>89600</v>
          </cell>
        </row>
        <row r="96">
          <cell r="A96">
            <v>42879</v>
          </cell>
          <cell r="D96" t="str">
            <v>Export Expenses</v>
          </cell>
          <cell r="F96">
            <v>106200</v>
          </cell>
        </row>
        <row r="97">
          <cell r="A97">
            <v>42880</v>
          </cell>
          <cell r="D97" t="str">
            <v xml:space="preserve">Office Expenses </v>
          </cell>
          <cell r="F97">
            <v>1400</v>
          </cell>
        </row>
        <row r="98">
          <cell r="A98">
            <v>42880</v>
          </cell>
          <cell r="D98" t="str">
            <v xml:space="preserve">Office Expenses </v>
          </cell>
          <cell r="F98">
            <v>500</v>
          </cell>
        </row>
        <row r="99">
          <cell r="A99">
            <v>42880</v>
          </cell>
          <cell r="D99" t="str">
            <v>Rate &amp; Taxes</v>
          </cell>
          <cell r="F99">
            <v>2700</v>
          </cell>
        </row>
        <row r="100">
          <cell r="A100">
            <v>42880</v>
          </cell>
          <cell r="D100" t="str">
            <v>Service Expenses</v>
          </cell>
          <cell r="F100">
            <v>1500</v>
          </cell>
        </row>
        <row r="101">
          <cell r="A101">
            <v>42881</v>
          </cell>
          <cell r="D101" t="str">
            <v xml:space="preserve">Donation </v>
          </cell>
          <cell r="F101">
            <v>17650</v>
          </cell>
        </row>
        <row r="102">
          <cell r="A102">
            <v>42884</v>
          </cell>
          <cell r="D102" t="str">
            <v>Service Expenses</v>
          </cell>
          <cell r="F102">
            <v>800</v>
          </cell>
        </row>
        <row r="103">
          <cell r="A103">
            <v>42886</v>
          </cell>
          <cell r="D103" t="str">
            <v>Lighting &amp; Power</v>
          </cell>
          <cell r="F103">
            <v>1500</v>
          </cell>
        </row>
        <row r="104">
          <cell r="A104">
            <v>42886</v>
          </cell>
          <cell r="D104" t="str">
            <v>Printing &amp; stationery</v>
          </cell>
          <cell r="F104">
            <v>1500</v>
          </cell>
        </row>
        <row r="105">
          <cell r="A105">
            <v>42886</v>
          </cell>
          <cell r="D105" t="str">
            <v xml:space="preserve">Office Expenses </v>
          </cell>
          <cell r="F105">
            <v>2600</v>
          </cell>
        </row>
        <row r="106">
          <cell r="A106">
            <v>42886</v>
          </cell>
          <cell r="D106" t="str">
            <v>Salaries</v>
          </cell>
          <cell r="F106">
            <v>890000</v>
          </cell>
        </row>
        <row r="107">
          <cell r="A107">
            <v>42886</v>
          </cell>
          <cell r="D107" t="str">
            <v>Payable Trade</v>
          </cell>
          <cell r="F107">
            <v>45210000</v>
          </cell>
        </row>
        <row r="108">
          <cell r="A108">
            <v>42887</v>
          </cell>
          <cell r="D108" t="str">
            <v>Rate &amp; Taxes</v>
          </cell>
          <cell r="F108">
            <v>1500</v>
          </cell>
        </row>
        <row r="109">
          <cell r="A109">
            <v>42887</v>
          </cell>
          <cell r="D109" t="str">
            <v>Fuel &amp; Oil</v>
          </cell>
          <cell r="F109">
            <v>22000</v>
          </cell>
        </row>
        <row r="110">
          <cell r="A110">
            <v>42887</v>
          </cell>
          <cell r="D110" t="str">
            <v>Books &amp; Periodicals</v>
          </cell>
          <cell r="F110">
            <v>2500</v>
          </cell>
        </row>
        <row r="111">
          <cell r="A111">
            <v>42888</v>
          </cell>
          <cell r="D111" t="str">
            <v>Rate &amp; Taxes</v>
          </cell>
          <cell r="F111">
            <v>450</v>
          </cell>
        </row>
        <row r="112">
          <cell r="A112">
            <v>42888</v>
          </cell>
          <cell r="D112" t="str">
            <v xml:space="preserve">Office Expenses </v>
          </cell>
          <cell r="F112">
            <v>1800</v>
          </cell>
        </row>
        <row r="113">
          <cell r="A113">
            <v>42889</v>
          </cell>
          <cell r="D113" t="str">
            <v xml:space="preserve">Office Expenses </v>
          </cell>
          <cell r="F113">
            <v>700</v>
          </cell>
        </row>
        <row r="114">
          <cell r="A114">
            <v>42890</v>
          </cell>
          <cell r="D114" t="str">
            <v xml:space="preserve">Office Expenses </v>
          </cell>
          <cell r="F114">
            <v>1800</v>
          </cell>
        </row>
        <row r="115">
          <cell r="A115">
            <v>42891</v>
          </cell>
          <cell r="D115" t="str">
            <v xml:space="preserve">Office Expenses </v>
          </cell>
          <cell r="F115">
            <v>4800</v>
          </cell>
        </row>
        <row r="116">
          <cell r="A116">
            <v>42891</v>
          </cell>
          <cell r="D116" t="str">
            <v>Meal Expenses</v>
          </cell>
          <cell r="F116">
            <v>3500</v>
          </cell>
        </row>
        <row r="117">
          <cell r="A117">
            <v>42892</v>
          </cell>
          <cell r="D117" t="str">
            <v>Printing &amp; stationery</v>
          </cell>
          <cell r="F117">
            <v>6700</v>
          </cell>
        </row>
        <row r="118">
          <cell r="A118">
            <v>42892</v>
          </cell>
          <cell r="D118" t="str">
            <v>Service Expenses</v>
          </cell>
          <cell r="F118">
            <v>1600</v>
          </cell>
        </row>
        <row r="119">
          <cell r="A119">
            <v>42893</v>
          </cell>
          <cell r="D119" t="str">
            <v xml:space="preserve">Office Expenses </v>
          </cell>
          <cell r="F119">
            <v>6000</v>
          </cell>
        </row>
        <row r="120">
          <cell r="A120">
            <v>42893</v>
          </cell>
          <cell r="D120" t="str">
            <v xml:space="preserve">Office Expenses </v>
          </cell>
          <cell r="F120">
            <v>700</v>
          </cell>
        </row>
        <row r="121">
          <cell r="A121">
            <v>42893</v>
          </cell>
          <cell r="D121" t="str">
            <v xml:space="preserve">Office Expenses </v>
          </cell>
          <cell r="F121">
            <v>700</v>
          </cell>
        </row>
        <row r="122">
          <cell r="A122">
            <v>42893</v>
          </cell>
          <cell r="D122" t="str">
            <v xml:space="preserve">Office Expenses </v>
          </cell>
          <cell r="F122">
            <v>14200</v>
          </cell>
        </row>
        <row r="123">
          <cell r="A123">
            <v>42894</v>
          </cell>
          <cell r="D123" t="str">
            <v>Export Expenses</v>
          </cell>
          <cell r="F123">
            <v>10500</v>
          </cell>
        </row>
        <row r="124">
          <cell r="A124">
            <v>42895</v>
          </cell>
          <cell r="D124" t="str">
            <v xml:space="preserve">Office Expenses </v>
          </cell>
          <cell r="F124">
            <v>1400</v>
          </cell>
        </row>
        <row r="125">
          <cell r="A125">
            <v>42898</v>
          </cell>
          <cell r="D125" t="str">
            <v xml:space="preserve">Office Expenses </v>
          </cell>
          <cell r="F125">
            <v>700</v>
          </cell>
        </row>
        <row r="126">
          <cell r="A126">
            <v>42900</v>
          </cell>
          <cell r="D126" t="str">
            <v>Communication charges</v>
          </cell>
          <cell r="F126">
            <v>40650</v>
          </cell>
        </row>
        <row r="127">
          <cell r="A127">
            <v>42900</v>
          </cell>
          <cell r="D127" t="str">
            <v>Lighting &amp; Power</v>
          </cell>
          <cell r="F127">
            <v>32000</v>
          </cell>
        </row>
        <row r="128">
          <cell r="A128">
            <v>42900</v>
          </cell>
          <cell r="D128" t="str">
            <v xml:space="preserve">Office Expenses </v>
          </cell>
          <cell r="F128">
            <v>900</v>
          </cell>
        </row>
        <row r="129">
          <cell r="A129">
            <v>42901</v>
          </cell>
          <cell r="D129" t="str">
            <v>Fuel &amp; Oil</v>
          </cell>
          <cell r="F129">
            <v>13000</v>
          </cell>
        </row>
        <row r="130">
          <cell r="A130">
            <v>42901</v>
          </cell>
          <cell r="D130" t="str">
            <v>Repair &amp; Maintenance</v>
          </cell>
          <cell r="F130">
            <v>800</v>
          </cell>
        </row>
        <row r="131">
          <cell r="A131">
            <v>42901</v>
          </cell>
          <cell r="D131" t="str">
            <v>Repair &amp; Maintenance</v>
          </cell>
          <cell r="F131">
            <v>600</v>
          </cell>
        </row>
        <row r="132">
          <cell r="A132">
            <v>42903</v>
          </cell>
          <cell r="D132" t="str">
            <v xml:space="preserve">Office Expenses </v>
          </cell>
          <cell r="F132">
            <v>700</v>
          </cell>
        </row>
        <row r="133">
          <cell r="A133">
            <v>42905</v>
          </cell>
          <cell r="D133" t="str">
            <v>Transfer F.C</v>
          </cell>
          <cell r="E133">
            <v>51037500</v>
          </cell>
        </row>
        <row r="134">
          <cell r="A134">
            <v>42905</v>
          </cell>
          <cell r="D134" t="str">
            <v>Social Security Fees</v>
          </cell>
          <cell r="F134">
            <v>12000</v>
          </cell>
        </row>
        <row r="135">
          <cell r="A135">
            <v>42905</v>
          </cell>
          <cell r="D135" t="str">
            <v>Social Security Fees</v>
          </cell>
          <cell r="F135">
            <v>13400</v>
          </cell>
        </row>
        <row r="136">
          <cell r="A136">
            <v>42905</v>
          </cell>
          <cell r="D136" t="str">
            <v>Social Security Fees</v>
          </cell>
          <cell r="F136">
            <v>12200</v>
          </cell>
        </row>
        <row r="137">
          <cell r="A137">
            <v>42906</v>
          </cell>
          <cell r="D137" t="str">
            <v>Export Expenses</v>
          </cell>
          <cell r="F137">
            <v>2000</v>
          </cell>
        </row>
        <row r="138">
          <cell r="A138">
            <v>42906</v>
          </cell>
          <cell r="D138" t="str">
            <v xml:space="preserve">Office Expenses </v>
          </cell>
          <cell r="F138">
            <v>900</v>
          </cell>
        </row>
        <row r="139">
          <cell r="A139">
            <v>42907</v>
          </cell>
          <cell r="D139" t="str">
            <v>Export Expenses</v>
          </cell>
          <cell r="F139">
            <v>3000</v>
          </cell>
        </row>
        <row r="140">
          <cell r="A140">
            <v>42907</v>
          </cell>
          <cell r="D140" t="str">
            <v>Export Expenses</v>
          </cell>
          <cell r="F140">
            <v>900000</v>
          </cell>
        </row>
        <row r="141">
          <cell r="A141">
            <v>42907</v>
          </cell>
          <cell r="D141" t="str">
            <v>Fuel &amp; Oil</v>
          </cell>
          <cell r="F141">
            <v>20000</v>
          </cell>
        </row>
        <row r="142">
          <cell r="A142">
            <v>42908</v>
          </cell>
          <cell r="D142" t="str">
            <v>Export Expenses</v>
          </cell>
          <cell r="F142">
            <v>6000</v>
          </cell>
        </row>
        <row r="143">
          <cell r="A143">
            <v>42908</v>
          </cell>
          <cell r="D143" t="str">
            <v xml:space="preserve">Office Expenses </v>
          </cell>
          <cell r="F143">
            <v>700</v>
          </cell>
        </row>
        <row r="144">
          <cell r="A144">
            <v>42908</v>
          </cell>
          <cell r="D144" t="str">
            <v>Service Expenses</v>
          </cell>
          <cell r="F144">
            <v>800</v>
          </cell>
        </row>
        <row r="145">
          <cell r="A145">
            <v>42910</v>
          </cell>
          <cell r="D145" t="str">
            <v xml:space="preserve">Office Expenses </v>
          </cell>
          <cell r="F145">
            <v>8500</v>
          </cell>
        </row>
        <row r="146">
          <cell r="A146">
            <v>42912</v>
          </cell>
          <cell r="D146" t="str">
            <v>Export Expenses</v>
          </cell>
          <cell r="F146">
            <v>4200</v>
          </cell>
        </row>
        <row r="147">
          <cell r="A147">
            <v>42912</v>
          </cell>
          <cell r="D147" t="str">
            <v>Export Expenses</v>
          </cell>
          <cell r="F147">
            <v>245300</v>
          </cell>
        </row>
        <row r="148">
          <cell r="A148">
            <v>42912</v>
          </cell>
          <cell r="D148" t="str">
            <v>Communication charges</v>
          </cell>
          <cell r="F148">
            <v>54500</v>
          </cell>
        </row>
        <row r="149">
          <cell r="A149">
            <v>42912</v>
          </cell>
          <cell r="D149" t="str">
            <v>Rate &amp; Taxes</v>
          </cell>
          <cell r="F149">
            <v>550</v>
          </cell>
        </row>
        <row r="150">
          <cell r="A150">
            <v>42913</v>
          </cell>
          <cell r="D150" t="str">
            <v>Export Expenses</v>
          </cell>
          <cell r="F150">
            <v>101000</v>
          </cell>
        </row>
        <row r="151">
          <cell r="A151">
            <v>42913</v>
          </cell>
          <cell r="D151" t="str">
            <v>Export Expenses</v>
          </cell>
          <cell r="F151">
            <v>52000</v>
          </cell>
        </row>
        <row r="152">
          <cell r="A152">
            <v>42913</v>
          </cell>
          <cell r="D152" t="str">
            <v>2% Advance I T (2017-2018)</v>
          </cell>
          <cell r="F152">
            <v>852824</v>
          </cell>
        </row>
        <row r="153">
          <cell r="A153">
            <v>42914</v>
          </cell>
          <cell r="D153" t="str">
            <v xml:space="preserve">Office Expenses </v>
          </cell>
          <cell r="F153">
            <v>900</v>
          </cell>
        </row>
        <row r="154">
          <cell r="A154">
            <v>42914</v>
          </cell>
          <cell r="D154" t="str">
            <v xml:space="preserve">Office Expenses </v>
          </cell>
          <cell r="F154">
            <v>700</v>
          </cell>
        </row>
        <row r="155">
          <cell r="A155">
            <v>42915</v>
          </cell>
          <cell r="D155" t="str">
            <v xml:space="preserve">Donation </v>
          </cell>
          <cell r="F155">
            <v>1500</v>
          </cell>
        </row>
        <row r="156">
          <cell r="A156">
            <v>42916</v>
          </cell>
          <cell r="D156" t="str">
            <v>Service Expenses</v>
          </cell>
          <cell r="F156">
            <v>1600</v>
          </cell>
        </row>
        <row r="157">
          <cell r="A157">
            <v>42916</v>
          </cell>
          <cell r="D157" t="str">
            <v>Salaries</v>
          </cell>
          <cell r="F157">
            <v>890000</v>
          </cell>
        </row>
        <row r="158">
          <cell r="A158">
            <v>42916</v>
          </cell>
          <cell r="D158" t="str">
            <v>Accountancy Charges</v>
          </cell>
          <cell r="F158">
            <v>210000</v>
          </cell>
        </row>
        <row r="159">
          <cell r="A159">
            <v>42916</v>
          </cell>
          <cell r="D159" t="str">
            <v>Payable Trade</v>
          </cell>
          <cell r="F159">
            <v>31800000</v>
          </cell>
        </row>
        <row r="160">
          <cell r="A160">
            <v>42919</v>
          </cell>
          <cell r="D160" t="str">
            <v>Books &amp; Periodicals</v>
          </cell>
          <cell r="F160">
            <v>2500</v>
          </cell>
        </row>
        <row r="161">
          <cell r="A161">
            <v>42919</v>
          </cell>
          <cell r="D161" t="str">
            <v>Rate &amp; Taxes</v>
          </cell>
          <cell r="F161">
            <v>1500</v>
          </cell>
        </row>
        <row r="162">
          <cell r="A162">
            <v>42919</v>
          </cell>
          <cell r="D162" t="str">
            <v>Export Expenses</v>
          </cell>
          <cell r="F162">
            <v>30000</v>
          </cell>
        </row>
        <row r="163">
          <cell r="A163">
            <v>42919</v>
          </cell>
          <cell r="D163" t="str">
            <v>Export Expenses</v>
          </cell>
          <cell r="F163">
            <v>18000</v>
          </cell>
        </row>
        <row r="164">
          <cell r="A164">
            <v>42919</v>
          </cell>
          <cell r="D164" t="str">
            <v>Export Expenses</v>
          </cell>
          <cell r="F164">
            <v>3000</v>
          </cell>
        </row>
        <row r="165">
          <cell r="A165">
            <v>42919</v>
          </cell>
          <cell r="D165" t="str">
            <v>Export Expenses</v>
          </cell>
          <cell r="F165">
            <v>6500</v>
          </cell>
        </row>
        <row r="166">
          <cell r="A166">
            <v>42920</v>
          </cell>
          <cell r="D166" t="str">
            <v xml:space="preserve">Office Expenses </v>
          </cell>
          <cell r="F166">
            <v>700</v>
          </cell>
        </row>
        <row r="167">
          <cell r="A167">
            <v>42920</v>
          </cell>
          <cell r="D167" t="str">
            <v>Export Expenses</v>
          </cell>
          <cell r="F167">
            <v>3000</v>
          </cell>
        </row>
        <row r="168">
          <cell r="A168">
            <v>42920</v>
          </cell>
          <cell r="D168" t="str">
            <v>Rate &amp; Taxes</v>
          </cell>
          <cell r="F168">
            <v>180000</v>
          </cell>
        </row>
        <row r="169">
          <cell r="A169">
            <v>42921</v>
          </cell>
          <cell r="D169" t="str">
            <v>Audit Fees</v>
          </cell>
        </row>
        <row r="170">
          <cell r="A170">
            <v>42921</v>
          </cell>
          <cell r="D170" t="str">
            <v xml:space="preserve">Office Expenses </v>
          </cell>
          <cell r="F170">
            <v>800</v>
          </cell>
        </row>
        <row r="171">
          <cell r="A171">
            <v>42921</v>
          </cell>
          <cell r="D171" t="str">
            <v xml:space="preserve">Office Expenses </v>
          </cell>
          <cell r="F171">
            <v>14200</v>
          </cell>
        </row>
        <row r="172">
          <cell r="A172">
            <v>42921</v>
          </cell>
          <cell r="D172" t="str">
            <v>Export Expenses</v>
          </cell>
          <cell r="F172">
            <v>44800</v>
          </cell>
        </row>
        <row r="173">
          <cell r="A173">
            <v>42923</v>
          </cell>
          <cell r="D173" t="str">
            <v xml:space="preserve">Donation </v>
          </cell>
          <cell r="F173">
            <v>1750</v>
          </cell>
        </row>
        <row r="174">
          <cell r="A174">
            <v>42923</v>
          </cell>
          <cell r="D174" t="str">
            <v>Export Expenses</v>
          </cell>
          <cell r="F174">
            <v>2000</v>
          </cell>
        </row>
        <row r="175">
          <cell r="A175">
            <v>42926</v>
          </cell>
          <cell r="D175" t="str">
            <v>Fuel &amp; Oil</v>
          </cell>
          <cell r="F175">
            <v>24000</v>
          </cell>
        </row>
        <row r="176">
          <cell r="A176">
            <v>42926</v>
          </cell>
          <cell r="D176" t="str">
            <v xml:space="preserve">Office Expenses </v>
          </cell>
          <cell r="F176">
            <v>700</v>
          </cell>
        </row>
        <row r="177">
          <cell r="A177">
            <v>42926</v>
          </cell>
          <cell r="D177" t="str">
            <v>Communication charges</v>
          </cell>
          <cell r="F177">
            <v>41000</v>
          </cell>
        </row>
        <row r="178">
          <cell r="A178">
            <v>42926</v>
          </cell>
          <cell r="D178" t="str">
            <v>Export Expenses</v>
          </cell>
          <cell r="F178">
            <v>15800</v>
          </cell>
        </row>
        <row r="179">
          <cell r="A179">
            <v>42926</v>
          </cell>
          <cell r="D179" t="str">
            <v>Export Expenses</v>
          </cell>
          <cell r="F179">
            <v>9000</v>
          </cell>
        </row>
        <row r="180">
          <cell r="A180">
            <v>42926</v>
          </cell>
          <cell r="D180" t="str">
            <v>Export Expenses</v>
          </cell>
          <cell r="F180">
            <v>3000</v>
          </cell>
        </row>
        <row r="181">
          <cell r="A181">
            <v>42926</v>
          </cell>
          <cell r="D181" t="str">
            <v>Export Expenses</v>
          </cell>
          <cell r="F181">
            <v>1350000</v>
          </cell>
        </row>
        <row r="182">
          <cell r="A182">
            <v>42928</v>
          </cell>
          <cell r="D182" t="str">
            <v xml:space="preserve">Office Expenses </v>
          </cell>
          <cell r="F182">
            <v>1500</v>
          </cell>
        </row>
        <row r="183">
          <cell r="A183">
            <v>42928</v>
          </cell>
          <cell r="D183" t="str">
            <v>Printing &amp; stationery</v>
          </cell>
          <cell r="F183">
            <v>700</v>
          </cell>
        </row>
        <row r="184">
          <cell r="A184">
            <v>42928</v>
          </cell>
          <cell r="D184" t="str">
            <v>Printing &amp; stationery</v>
          </cell>
          <cell r="F184">
            <v>3500</v>
          </cell>
        </row>
        <row r="185">
          <cell r="A185">
            <v>42928</v>
          </cell>
          <cell r="D185" t="str">
            <v>Export Expenses</v>
          </cell>
          <cell r="F185">
            <v>6300</v>
          </cell>
        </row>
        <row r="186">
          <cell r="A186">
            <v>42928</v>
          </cell>
          <cell r="D186" t="str">
            <v>Transfer F.C</v>
          </cell>
          <cell r="E186">
            <v>40980000</v>
          </cell>
        </row>
        <row r="187">
          <cell r="A187">
            <v>42929</v>
          </cell>
          <cell r="D187" t="str">
            <v xml:space="preserve">Donation </v>
          </cell>
          <cell r="F187">
            <v>1500</v>
          </cell>
        </row>
        <row r="188">
          <cell r="A188">
            <v>42929</v>
          </cell>
          <cell r="D188" t="str">
            <v>Export Expenses</v>
          </cell>
          <cell r="F188">
            <v>363450</v>
          </cell>
        </row>
        <row r="189">
          <cell r="A189">
            <v>42929</v>
          </cell>
          <cell r="D189" t="str">
            <v>Export Expenses</v>
          </cell>
          <cell r="F189">
            <v>106200</v>
          </cell>
        </row>
        <row r="190">
          <cell r="A190">
            <v>42929</v>
          </cell>
          <cell r="D190" t="str">
            <v>2% Advance I T (2017-2018)</v>
          </cell>
          <cell r="F190">
            <v>1078228</v>
          </cell>
        </row>
        <row r="191">
          <cell r="A191">
            <v>42929</v>
          </cell>
          <cell r="D191" t="str">
            <v>Export Expenses</v>
          </cell>
          <cell r="F191">
            <v>55500</v>
          </cell>
        </row>
        <row r="192">
          <cell r="A192">
            <v>42930</v>
          </cell>
          <cell r="D192" t="str">
            <v>Repair &amp; Maintenance</v>
          </cell>
          <cell r="F192">
            <v>10000</v>
          </cell>
        </row>
        <row r="193">
          <cell r="A193">
            <v>42930</v>
          </cell>
          <cell r="D193" t="str">
            <v xml:space="preserve">Office Expenses </v>
          </cell>
          <cell r="F193">
            <v>400</v>
          </cell>
        </row>
        <row r="194">
          <cell r="A194">
            <v>42931</v>
          </cell>
          <cell r="D194" t="str">
            <v>Service Expenses</v>
          </cell>
          <cell r="F194">
            <v>1000</v>
          </cell>
        </row>
        <row r="195">
          <cell r="A195">
            <v>42933</v>
          </cell>
          <cell r="D195" t="str">
            <v>Service Expenses</v>
          </cell>
          <cell r="F195">
            <v>1600</v>
          </cell>
        </row>
        <row r="196">
          <cell r="A196">
            <v>42933</v>
          </cell>
          <cell r="D196" t="str">
            <v xml:space="preserve">Office Expenses </v>
          </cell>
          <cell r="F196">
            <v>700</v>
          </cell>
        </row>
        <row r="197">
          <cell r="A197">
            <v>42933</v>
          </cell>
          <cell r="D197" t="str">
            <v xml:space="preserve">Office Expenses </v>
          </cell>
          <cell r="F197">
            <v>600</v>
          </cell>
        </row>
        <row r="198">
          <cell r="A198">
            <v>42933</v>
          </cell>
          <cell r="D198" t="str">
            <v>Lighting &amp; Power</v>
          </cell>
          <cell r="F198">
            <v>28550</v>
          </cell>
        </row>
        <row r="199">
          <cell r="A199">
            <v>42933</v>
          </cell>
          <cell r="D199" t="str">
            <v>Export Expenses</v>
          </cell>
          <cell r="F199">
            <v>15000</v>
          </cell>
        </row>
        <row r="200">
          <cell r="A200">
            <v>42933</v>
          </cell>
          <cell r="D200" t="str">
            <v>Export Expenses</v>
          </cell>
          <cell r="F200">
            <v>30000</v>
          </cell>
        </row>
        <row r="201">
          <cell r="A201">
            <v>42933</v>
          </cell>
          <cell r="D201" t="str">
            <v>Export Expenses</v>
          </cell>
          <cell r="F201">
            <v>8500</v>
          </cell>
        </row>
        <row r="202">
          <cell r="A202">
            <v>42933</v>
          </cell>
          <cell r="D202" t="str">
            <v>Export Expenses</v>
          </cell>
          <cell r="F202">
            <v>3000</v>
          </cell>
        </row>
        <row r="203">
          <cell r="A203">
            <v>42934</v>
          </cell>
          <cell r="D203" t="str">
            <v>Bank Charges</v>
          </cell>
          <cell r="F203">
            <v>3000</v>
          </cell>
        </row>
        <row r="204">
          <cell r="A204">
            <v>42934</v>
          </cell>
          <cell r="D204" t="str">
            <v>Export Expenses</v>
          </cell>
          <cell r="F204">
            <v>3000</v>
          </cell>
        </row>
        <row r="205">
          <cell r="A205">
            <v>42936</v>
          </cell>
          <cell r="D205" t="str">
            <v>Fuel &amp; Oil</v>
          </cell>
          <cell r="F205">
            <v>28000</v>
          </cell>
        </row>
        <row r="206">
          <cell r="A206">
            <v>42936</v>
          </cell>
          <cell r="D206" t="str">
            <v xml:space="preserve">Office Expenses </v>
          </cell>
          <cell r="F206">
            <v>900</v>
          </cell>
        </row>
        <row r="207">
          <cell r="A207">
            <v>42936</v>
          </cell>
          <cell r="D207" t="str">
            <v xml:space="preserve">Office Expenses </v>
          </cell>
          <cell r="F207">
            <v>700</v>
          </cell>
        </row>
        <row r="208">
          <cell r="A208">
            <v>42936</v>
          </cell>
          <cell r="D208" t="str">
            <v>Export Expenses</v>
          </cell>
          <cell r="F208">
            <v>89500</v>
          </cell>
        </row>
        <row r="209">
          <cell r="A209">
            <v>42937</v>
          </cell>
          <cell r="D209" t="str">
            <v xml:space="preserve">Office Expenses </v>
          </cell>
          <cell r="F209">
            <v>600</v>
          </cell>
        </row>
        <row r="210">
          <cell r="A210">
            <v>42938</v>
          </cell>
          <cell r="D210" t="str">
            <v xml:space="preserve">Office Expenses </v>
          </cell>
          <cell r="F210">
            <v>2700</v>
          </cell>
        </row>
        <row r="211">
          <cell r="A211">
            <v>42938</v>
          </cell>
          <cell r="D211" t="str">
            <v xml:space="preserve">Donation </v>
          </cell>
          <cell r="F211">
            <v>1500</v>
          </cell>
        </row>
        <row r="212">
          <cell r="A212">
            <v>42940</v>
          </cell>
          <cell r="D212" t="str">
            <v xml:space="preserve">Office Expenses </v>
          </cell>
          <cell r="F212">
            <v>1400</v>
          </cell>
        </row>
        <row r="213">
          <cell r="A213">
            <v>42941</v>
          </cell>
          <cell r="D213" t="str">
            <v>Communication charges</v>
          </cell>
          <cell r="F213">
            <v>41350</v>
          </cell>
        </row>
        <row r="214">
          <cell r="A214">
            <v>42941</v>
          </cell>
          <cell r="D214" t="str">
            <v>Service Expenses</v>
          </cell>
          <cell r="F214">
            <v>4000</v>
          </cell>
        </row>
        <row r="215">
          <cell r="A215">
            <v>42943</v>
          </cell>
          <cell r="D215" t="str">
            <v xml:space="preserve">Donation </v>
          </cell>
          <cell r="F215">
            <v>1500</v>
          </cell>
        </row>
        <row r="216">
          <cell r="A216">
            <v>42943</v>
          </cell>
          <cell r="D216" t="str">
            <v xml:space="preserve">Office Expenses </v>
          </cell>
          <cell r="F216">
            <v>700</v>
          </cell>
        </row>
        <row r="217">
          <cell r="A217">
            <v>42947</v>
          </cell>
          <cell r="D217" t="str">
            <v>Export Expenses</v>
          </cell>
          <cell r="F217">
            <v>2000</v>
          </cell>
        </row>
        <row r="218">
          <cell r="A218">
            <v>42947</v>
          </cell>
          <cell r="D218" t="str">
            <v>Export Expenses</v>
          </cell>
          <cell r="F218">
            <v>9000</v>
          </cell>
        </row>
        <row r="219">
          <cell r="A219">
            <v>42947</v>
          </cell>
          <cell r="D219" t="str">
            <v>Salaries</v>
          </cell>
          <cell r="F219">
            <v>890000</v>
          </cell>
        </row>
        <row r="220">
          <cell r="A220">
            <v>42948</v>
          </cell>
          <cell r="D220" t="str">
            <v>Rate &amp; Taxes</v>
          </cell>
          <cell r="F220">
            <v>2150</v>
          </cell>
        </row>
        <row r="221">
          <cell r="A221">
            <v>42948</v>
          </cell>
          <cell r="D221" t="str">
            <v xml:space="preserve">Office Expenses </v>
          </cell>
          <cell r="F221">
            <v>1800</v>
          </cell>
        </row>
        <row r="222">
          <cell r="A222">
            <v>42948</v>
          </cell>
          <cell r="D222" t="str">
            <v>Communication charges</v>
          </cell>
          <cell r="F222">
            <v>6000</v>
          </cell>
        </row>
        <row r="223">
          <cell r="A223">
            <v>42948</v>
          </cell>
          <cell r="D223" t="str">
            <v>Export Expenses</v>
          </cell>
          <cell r="F223">
            <v>3000</v>
          </cell>
        </row>
        <row r="224">
          <cell r="A224">
            <v>42948</v>
          </cell>
          <cell r="D224" t="str">
            <v>Export Expenses</v>
          </cell>
          <cell r="F224">
            <v>1350000</v>
          </cell>
        </row>
        <row r="225">
          <cell r="A225">
            <v>42949</v>
          </cell>
          <cell r="D225" t="str">
            <v>Payable Trade</v>
          </cell>
          <cell r="F225">
            <v>53911440</v>
          </cell>
        </row>
        <row r="226">
          <cell r="A226">
            <v>42949</v>
          </cell>
          <cell r="D226" t="str">
            <v>Communication charges</v>
          </cell>
          <cell r="F226">
            <v>6000</v>
          </cell>
        </row>
        <row r="227">
          <cell r="A227">
            <v>42949</v>
          </cell>
          <cell r="D227" t="str">
            <v>Service Expenses</v>
          </cell>
          <cell r="F227">
            <v>10000</v>
          </cell>
        </row>
        <row r="228">
          <cell r="A228">
            <v>42950</v>
          </cell>
          <cell r="D228" t="str">
            <v xml:space="preserve">Donation </v>
          </cell>
          <cell r="F228">
            <v>1500</v>
          </cell>
        </row>
        <row r="229">
          <cell r="A229">
            <v>42950</v>
          </cell>
          <cell r="D229" t="str">
            <v>Printing &amp; stationery</v>
          </cell>
          <cell r="F229">
            <v>450</v>
          </cell>
        </row>
        <row r="230">
          <cell r="A230">
            <v>42950</v>
          </cell>
          <cell r="D230" t="str">
            <v>Export Expenses</v>
          </cell>
          <cell r="F230">
            <v>359450</v>
          </cell>
        </row>
        <row r="231">
          <cell r="A231">
            <v>42950</v>
          </cell>
          <cell r="D231" t="str">
            <v>Export Expenses</v>
          </cell>
          <cell r="F231">
            <v>6300</v>
          </cell>
        </row>
        <row r="232">
          <cell r="A232">
            <v>42951</v>
          </cell>
          <cell r="D232" t="str">
            <v>Books &amp; Periodicals</v>
          </cell>
          <cell r="F232">
            <v>2500</v>
          </cell>
        </row>
        <row r="233">
          <cell r="A233">
            <v>42951</v>
          </cell>
          <cell r="D233" t="str">
            <v>2% Advance I T (2017-2018)</v>
          </cell>
          <cell r="F233">
            <v>1081872</v>
          </cell>
        </row>
        <row r="234">
          <cell r="A234">
            <v>42951</v>
          </cell>
          <cell r="D234" t="str">
            <v>Export Expenses</v>
          </cell>
          <cell r="F234">
            <v>60000</v>
          </cell>
        </row>
        <row r="235">
          <cell r="A235">
            <v>42952</v>
          </cell>
          <cell r="D235" t="str">
            <v>Service Expenses</v>
          </cell>
          <cell r="F235">
            <v>9000</v>
          </cell>
        </row>
        <row r="236">
          <cell r="A236">
            <v>42952</v>
          </cell>
          <cell r="D236" t="str">
            <v xml:space="preserve">Office Expenses </v>
          </cell>
          <cell r="F236">
            <v>700</v>
          </cell>
        </row>
        <row r="237">
          <cell r="A237">
            <v>42953</v>
          </cell>
          <cell r="D237" t="str">
            <v>Service Expenses</v>
          </cell>
          <cell r="F237">
            <v>5000</v>
          </cell>
        </row>
        <row r="238">
          <cell r="A238">
            <v>42953</v>
          </cell>
          <cell r="D238" t="str">
            <v>Export Expenses</v>
          </cell>
          <cell r="F238">
            <v>15800</v>
          </cell>
        </row>
        <row r="239">
          <cell r="A239">
            <v>42954</v>
          </cell>
          <cell r="D239" t="str">
            <v>Fuel &amp; Oil</v>
          </cell>
          <cell r="F239">
            <v>20000</v>
          </cell>
        </row>
        <row r="240">
          <cell r="A240">
            <v>42954</v>
          </cell>
          <cell r="D240" t="str">
            <v>Export Expenses</v>
          </cell>
          <cell r="F240">
            <v>30000</v>
          </cell>
        </row>
        <row r="241">
          <cell r="A241">
            <v>42954</v>
          </cell>
          <cell r="D241" t="str">
            <v>Export Expenses</v>
          </cell>
          <cell r="F241">
            <v>106200</v>
          </cell>
        </row>
        <row r="242">
          <cell r="A242">
            <v>42954</v>
          </cell>
          <cell r="D242" t="str">
            <v>Export Expenses</v>
          </cell>
          <cell r="F242">
            <v>15000</v>
          </cell>
        </row>
        <row r="243">
          <cell r="A243">
            <v>42954</v>
          </cell>
          <cell r="D243" t="str">
            <v>Social Security Fees</v>
          </cell>
          <cell r="F243">
            <v>29200</v>
          </cell>
        </row>
        <row r="244">
          <cell r="A244">
            <v>42955</v>
          </cell>
          <cell r="D244" t="str">
            <v xml:space="preserve">Office Expenses </v>
          </cell>
          <cell r="F244">
            <v>900</v>
          </cell>
        </row>
        <row r="245">
          <cell r="A245">
            <v>42955</v>
          </cell>
          <cell r="D245" t="str">
            <v>Export Expenses</v>
          </cell>
          <cell r="F245">
            <v>8500</v>
          </cell>
        </row>
        <row r="246">
          <cell r="A246">
            <v>42955</v>
          </cell>
          <cell r="D246" t="str">
            <v>Export Expenses</v>
          </cell>
          <cell r="F246">
            <v>3000</v>
          </cell>
        </row>
        <row r="247">
          <cell r="A247">
            <v>42955</v>
          </cell>
          <cell r="D247" t="str">
            <v>Export Expenses</v>
          </cell>
          <cell r="F247">
            <v>3000</v>
          </cell>
        </row>
        <row r="248">
          <cell r="A248">
            <v>42956</v>
          </cell>
          <cell r="D248" t="str">
            <v>Communication charges</v>
          </cell>
          <cell r="F248">
            <v>41000</v>
          </cell>
        </row>
        <row r="249">
          <cell r="A249">
            <v>42956</v>
          </cell>
          <cell r="D249" t="str">
            <v>Export Expenses</v>
          </cell>
          <cell r="F249">
            <v>64000</v>
          </cell>
        </row>
        <row r="250">
          <cell r="A250">
            <v>42956</v>
          </cell>
          <cell r="D250" t="str">
            <v>Transfer F.C</v>
          </cell>
          <cell r="E250">
            <v>54520000</v>
          </cell>
        </row>
        <row r="251">
          <cell r="A251">
            <v>42957</v>
          </cell>
          <cell r="D251" t="str">
            <v xml:space="preserve">Donation </v>
          </cell>
          <cell r="F251">
            <v>1500</v>
          </cell>
        </row>
        <row r="252">
          <cell r="A252">
            <v>42958</v>
          </cell>
          <cell r="D252" t="str">
            <v xml:space="preserve">Office Expenses </v>
          </cell>
          <cell r="F252">
            <v>1400</v>
          </cell>
        </row>
        <row r="253">
          <cell r="A253">
            <v>42958</v>
          </cell>
          <cell r="D253" t="str">
            <v>Service Expenses</v>
          </cell>
          <cell r="F253">
            <v>1800</v>
          </cell>
        </row>
        <row r="254">
          <cell r="A254">
            <v>42959</v>
          </cell>
          <cell r="D254" t="str">
            <v xml:space="preserve">Donation </v>
          </cell>
          <cell r="F254">
            <v>10000</v>
          </cell>
        </row>
        <row r="255">
          <cell r="A255">
            <v>42962</v>
          </cell>
          <cell r="D255" t="str">
            <v>Lighting &amp; Power</v>
          </cell>
          <cell r="F255">
            <v>21350</v>
          </cell>
        </row>
        <row r="256">
          <cell r="A256">
            <v>42962</v>
          </cell>
          <cell r="D256" t="str">
            <v>Printing &amp; stationery</v>
          </cell>
          <cell r="F256">
            <v>3500</v>
          </cell>
        </row>
        <row r="257">
          <cell r="A257">
            <v>42964</v>
          </cell>
          <cell r="D257" t="str">
            <v xml:space="preserve">Donation </v>
          </cell>
          <cell r="F257">
            <v>1500</v>
          </cell>
        </row>
        <row r="258">
          <cell r="A258">
            <v>42965</v>
          </cell>
          <cell r="D258" t="str">
            <v xml:space="preserve">Office Expenses </v>
          </cell>
          <cell r="F258">
            <v>900</v>
          </cell>
        </row>
        <row r="259">
          <cell r="A259">
            <v>42967</v>
          </cell>
          <cell r="D259" t="str">
            <v xml:space="preserve">Office Expenses </v>
          </cell>
          <cell r="F259">
            <v>14200</v>
          </cell>
        </row>
        <row r="260">
          <cell r="A260">
            <v>42968</v>
          </cell>
          <cell r="D260" t="str">
            <v>Printing &amp; stationery</v>
          </cell>
          <cell r="F260">
            <v>200</v>
          </cell>
        </row>
        <row r="261">
          <cell r="A261">
            <v>42970</v>
          </cell>
          <cell r="D261" t="str">
            <v>Communication charges</v>
          </cell>
          <cell r="F261">
            <v>31250</v>
          </cell>
        </row>
        <row r="262">
          <cell r="A262">
            <v>42971</v>
          </cell>
          <cell r="D262" t="str">
            <v xml:space="preserve">Office Expenses </v>
          </cell>
          <cell r="F262">
            <v>900</v>
          </cell>
        </row>
        <row r="263">
          <cell r="A263">
            <v>42971</v>
          </cell>
          <cell r="D263" t="str">
            <v>Fuel &amp; Oil</v>
          </cell>
          <cell r="F263">
            <v>19000</v>
          </cell>
        </row>
        <row r="264">
          <cell r="A264">
            <v>42971</v>
          </cell>
          <cell r="D264" t="str">
            <v>Service Expenses</v>
          </cell>
          <cell r="F264">
            <v>1200</v>
          </cell>
        </row>
        <row r="265">
          <cell r="A265">
            <v>42972</v>
          </cell>
          <cell r="D265" t="str">
            <v xml:space="preserve">Donation </v>
          </cell>
          <cell r="F265">
            <v>1500</v>
          </cell>
        </row>
        <row r="266">
          <cell r="A266">
            <v>42972</v>
          </cell>
          <cell r="D266" t="str">
            <v>Service Expenses</v>
          </cell>
          <cell r="F266">
            <v>1800</v>
          </cell>
        </row>
        <row r="267">
          <cell r="A267">
            <v>42973</v>
          </cell>
          <cell r="D267" t="str">
            <v xml:space="preserve">Office Expenses </v>
          </cell>
          <cell r="F267">
            <v>1300</v>
          </cell>
        </row>
        <row r="268">
          <cell r="A268">
            <v>42977</v>
          </cell>
          <cell r="D268" t="str">
            <v xml:space="preserve">Office Expenses </v>
          </cell>
          <cell r="F268">
            <v>1700</v>
          </cell>
        </row>
        <row r="269">
          <cell r="A269">
            <v>42978</v>
          </cell>
          <cell r="D269" t="str">
            <v xml:space="preserve">Office Expenses </v>
          </cell>
          <cell r="F269">
            <v>800</v>
          </cell>
        </row>
        <row r="270">
          <cell r="A270">
            <v>42978</v>
          </cell>
          <cell r="D270" t="str">
            <v xml:space="preserve">Office Expenses </v>
          </cell>
          <cell r="F270">
            <v>900</v>
          </cell>
        </row>
        <row r="271">
          <cell r="A271">
            <v>42978</v>
          </cell>
          <cell r="D271" t="str">
            <v>Audit Fees</v>
          </cell>
        </row>
        <row r="272">
          <cell r="A272">
            <v>42978</v>
          </cell>
          <cell r="D272" t="str">
            <v>Salaries</v>
          </cell>
          <cell r="F272">
            <v>890000</v>
          </cell>
        </row>
        <row r="273">
          <cell r="A273">
            <v>42979</v>
          </cell>
          <cell r="D273" t="str">
            <v xml:space="preserve">Donation </v>
          </cell>
          <cell r="F273">
            <v>1500</v>
          </cell>
        </row>
        <row r="274">
          <cell r="A274">
            <v>42981</v>
          </cell>
          <cell r="D274" t="str">
            <v>Books &amp; Periodicals</v>
          </cell>
          <cell r="F274">
            <v>2500</v>
          </cell>
        </row>
        <row r="275">
          <cell r="A275">
            <v>42982</v>
          </cell>
          <cell r="D275" t="str">
            <v>Rate &amp; Taxes</v>
          </cell>
          <cell r="F275">
            <v>650</v>
          </cell>
        </row>
        <row r="276">
          <cell r="A276">
            <v>42982</v>
          </cell>
          <cell r="D276" t="str">
            <v>Communication charges</v>
          </cell>
          <cell r="F276">
            <v>6000</v>
          </cell>
        </row>
        <row r="277">
          <cell r="A277">
            <v>42982</v>
          </cell>
          <cell r="D277" t="str">
            <v>Service Expenses</v>
          </cell>
          <cell r="F277">
            <v>4000</v>
          </cell>
        </row>
        <row r="278">
          <cell r="A278">
            <v>42982</v>
          </cell>
          <cell r="D278" t="str">
            <v>Lighting &amp; Power</v>
          </cell>
          <cell r="F278">
            <v>2800</v>
          </cell>
        </row>
        <row r="279">
          <cell r="A279">
            <v>42984</v>
          </cell>
          <cell r="D279" t="str">
            <v>Service Expenses</v>
          </cell>
          <cell r="F279">
            <v>1800</v>
          </cell>
        </row>
        <row r="280">
          <cell r="A280">
            <v>42984</v>
          </cell>
          <cell r="D280" t="str">
            <v>Fuel &amp; Oil</v>
          </cell>
          <cell r="F280">
            <v>20000</v>
          </cell>
        </row>
        <row r="281">
          <cell r="A281">
            <v>42984</v>
          </cell>
          <cell r="D281" t="str">
            <v xml:space="preserve">Office Expenses </v>
          </cell>
          <cell r="F281">
            <v>900</v>
          </cell>
        </row>
        <row r="282">
          <cell r="A282">
            <v>42985</v>
          </cell>
          <cell r="D282" t="str">
            <v>Service Expenses</v>
          </cell>
          <cell r="F282">
            <v>5000</v>
          </cell>
        </row>
        <row r="283">
          <cell r="A283">
            <v>42985</v>
          </cell>
          <cell r="D283" t="str">
            <v xml:space="preserve">Donation </v>
          </cell>
          <cell r="F283">
            <v>1500</v>
          </cell>
        </row>
        <row r="284">
          <cell r="A284">
            <v>42985</v>
          </cell>
          <cell r="D284" t="str">
            <v>Rate &amp; Taxes</v>
          </cell>
          <cell r="F284">
            <v>50000</v>
          </cell>
        </row>
        <row r="285">
          <cell r="A285">
            <v>42987</v>
          </cell>
          <cell r="D285" t="str">
            <v>Service Expenses</v>
          </cell>
          <cell r="F285">
            <v>3000</v>
          </cell>
        </row>
        <row r="286">
          <cell r="A286">
            <v>42987</v>
          </cell>
          <cell r="D286" t="str">
            <v xml:space="preserve">Office Expenses </v>
          </cell>
          <cell r="F286">
            <v>14200</v>
          </cell>
        </row>
        <row r="287">
          <cell r="A287">
            <v>42989</v>
          </cell>
          <cell r="D287" t="str">
            <v>Payable Trade</v>
          </cell>
          <cell r="F287">
            <v>54093600</v>
          </cell>
        </row>
        <row r="288">
          <cell r="A288">
            <v>42989</v>
          </cell>
          <cell r="D288" t="str">
            <v xml:space="preserve">Office Expenses </v>
          </cell>
          <cell r="F288">
            <v>700</v>
          </cell>
        </row>
        <row r="289">
          <cell r="A289">
            <v>42989</v>
          </cell>
          <cell r="D289" t="str">
            <v>Communication charges</v>
          </cell>
          <cell r="F289">
            <v>36150</v>
          </cell>
        </row>
        <row r="290">
          <cell r="A290">
            <v>42990</v>
          </cell>
          <cell r="D290" t="str">
            <v xml:space="preserve">Vehicle Expenses </v>
          </cell>
          <cell r="F290">
            <v>1500</v>
          </cell>
        </row>
        <row r="291">
          <cell r="A291">
            <v>42990</v>
          </cell>
          <cell r="D291" t="str">
            <v xml:space="preserve">Office Expenses </v>
          </cell>
          <cell r="F291">
            <v>900</v>
          </cell>
        </row>
        <row r="292">
          <cell r="A292">
            <v>42990</v>
          </cell>
          <cell r="D292" t="str">
            <v>Communication charges</v>
          </cell>
          <cell r="F292">
            <v>40650</v>
          </cell>
        </row>
        <row r="293">
          <cell r="A293">
            <v>42991</v>
          </cell>
          <cell r="D293" t="str">
            <v>Lighting &amp; Power</v>
          </cell>
          <cell r="F293">
            <v>2800</v>
          </cell>
        </row>
        <row r="294">
          <cell r="A294">
            <v>42992</v>
          </cell>
          <cell r="D294" t="str">
            <v>Rate &amp; Taxes</v>
          </cell>
          <cell r="F294">
            <v>1500</v>
          </cell>
        </row>
        <row r="295">
          <cell r="A295">
            <v>42993</v>
          </cell>
          <cell r="D295" t="str">
            <v xml:space="preserve">Office Expenses </v>
          </cell>
          <cell r="F295">
            <v>700</v>
          </cell>
        </row>
        <row r="296">
          <cell r="A296">
            <v>42993</v>
          </cell>
          <cell r="D296" t="str">
            <v>Lighting &amp; Power</v>
          </cell>
          <cell r="F296">
            <v>19800</v>
          </cell>
        </row>
        <row r="297">
          <cell r="A297">
            <v>42993</v>
          </cell>
          <cell r="D297" t="str">
            <v xml:space="preserve">Donation </v>
          </cell>
          <cell r="F297">
            <v>1500</v>
          </cell>
        </row>
        <row r="298">
          <cell r="A298">
            <v>42994</v>
          </cell>
          <cell r="D298" t="str">
            <v xml:space="preserve">Office Expenses </v>
          </cell>
          <cell r="F298">
            <v>900</v>
          </cell>
        </row>
        <row r="299">
          <cell r="A299">
            <v>42999</v>
          </cell>
          <cell r="D299" t="str">
            <v>Rate &amp; Taxes</v>
          </cell>
          <cell r="F299">
            <v>550</v>
          </cell>
        </row>
        <row r="300">
          <cell r="A300">
            <v>43000</v>
          </cell>
          <cell r="D300" t="str">
            <v>Lighting &amp; Power</v>
          </cell>
          <cell r="F300">
            <v>6900</v>
          </cell>
        </row>
        <row r="301">
          <cell r="A301">
            <v>43001</v>
          </cell>
          <cell r="D301" t="str">
            <v>Service Expenses</v>
          </cell>
          <cell r="F301">
            <v>1800</v>
          </cell>
        </row>
        <row r="302">
          <cell r="A302">
            <v>43003</v>
          </cell>
          <cell r="D302" t="str">
            <v xml:space="preserve">Office Expenses </v>
          </cell>
          <cell r="F302">
            <v>900</v>
          </cell>
        </row>
        <row r="303">
          <cell r="A303">
            <v>43005</v>
          </cell>
          <cell r="D303" t="str">
            <v xml:space="preserve">Office Expenses </v>
          </cell>
          <cell r="F303">
            <v>700</v>
          </cell>
        </row>
        <row r="304">
          <cell r="A304">
            <v>43005</v>
          </cell>
          <cell r="D304" t="str">
            <v>Lighting &amp; Power</v>
          </cell>
          <cell r="F304">
            <v>36100</v>
          </cell>
        </row>
        <row r="305">
          <cell r="A305">
            <v>43005</v>
          </cell>
          <cell r="D305" t="str">
            <v xml:space="preserve">Office Expenses </v>
          </cell>
          <cell r="F305">
            <v>1500</v>
          </cell>
        </row>
        <row r="306">
          <cell r="A306">
            <v>43007</v>
          </cell>
          <cell r="D306" t="str">
            <v xml:space="preserve">Donation </v>
          </cell>
          <cell r="F306">
            <v>3000</v>
          </cell>
        </row>
        <row r="307">
          <cell r="A307">
            <v>43008</v>
          </cell>
          <cell r="D307" t="str">
            <v>Salaries</v>
          </cell>
          <cell r="F307">
            <v>890000</v>
          </cell>
        </row>
        <row r="308">
          <cell r="A308">
            <v>43008</v>
          </cell>
          <cell r="D308" t="str">
            <v>Accountancy Charges</v>
          </cell>
          <cell r="F308">
            <v>210000</v>
          </cell>
        </row>
        <row r="309">
          <cell r="A309">
            <v>43010</v>
          </cell>
          <cell r="D309" t="str">
            <v>Fuel &amp; Oil</v>
          </cell>
          <cell r="F309">
            <v>17000</v>
          </cell>
        </row>
        <row r="310">
          <cell r="A310">
            <v>43011</v>
          </cell>
          <cell r="D310" t="str">
            <v>Income tax</v>
          </cell>
          <cell r="F310">
            <v>1033014</v>
          </cell>
        </row>
        <row r="311">
          <cell r="A311">
            <v>43011</v>
          </cell>
          <cell r="D311" t="str">
            <v>Books &amp; Periodicals</v>
          </cell>
          <cell r="F311">
            <v>2500</v>
          </cell>
        </row>
        <row r="312">
          <cell r="A312">
            <v>43012</v>
          </cell>
          <cell r="D312" t="str">
            <v>Communication charges</v>
          </cell>
          <cell r="F312">
            <v>6000</v>
          </cell>
        </row>
        <row r="313">
          <cell r="A313">
            <v>43013</v>
          </cell>
          <cell r="D313" t="str">
            <v>Printing &amp; stationery</v>
          </cell>
          <cell r="F313">
            <v>450</v>
          </cell>
        </row>
        <row r="314">
          <cell r="A314">
            <v>43013</v>
          </cell>
          <cell r="D314" t="str">
            <v>Service Expenses</v>
          </cell>
          <cell r="F314">
            <v>5000</v>
          </cell>
        </row>
        <row r="315">
          <cell r="A315">
            <v>43015</v>
          </cell>
          <cell r="D315" t="str">
            <v>Service Expenses</v>
          </cell>
          <cell r="F315">
            <v>18000</v>
          </cell>
        </row>
        <row r="316">
          <cell r="A316">
            <v>43018</v>
          </cell>
          <cell r="D316" t="str">
            <v xml:space="preserve">Office Expenses </v>
          </cell>
          <cell r="F316">
            <v>14200</v>
          </cell>
        </row>
        <row r="317">
          <cell r="A317">
            <v>43018</v>
          </cell>
          <cell r="D317" t="str">
            <v>Communication charges</v>
          </cell>
          <cell r="F317">
            <v>30650</v>
          </cell>
        </row>
        <row r="318">
          <cell r="A318">
            <v>43019</v>
          </cell>
          <cell r="D318" t="str">
            <v xml:space="preserve">Office Expenses </v>
          </cell>
          <cell r="F318">
            <v>700</v>
          </cell>
        </row>
        <row r="319">
          <cell r="A319">
            <v>43019</v>
          </cell>
          <cell r="D319" t="str">
            <v>Rate &amp; Taxes</v>
          </cell>
          <cell r="F319">
            <v>4200</v>
          </cell>
        </row>
        <row r="320">
          <cell r="A320">
            <v>43020</v>
          </cell>
          <cell r="D320" t="str">
            <v>Communication charges</v>
          </cell>
          <cell r="F320">
            <v>40900</v>
          </cell>
        </row>
        <row r="321">
          <cell r="A321">
            <v>43020</v>
          </cell>
          <cell r="D321" t="str">
            <v>Communication charges</v>
          </cell>
          <cell r="F321">
            <v>2800</v>
          </cell>
        </row>
        <row r="322">
          <cell r="A322">
            <v>43020</v>
          </cell>
          <cell r="D322" t="str">
            <v xml:space="preserve">Donation </v>
          </cell>
          <cell r="F322">
            <v>3000</v>
          </cell>
        </row>
        <row r="323">
          <cell r="A323">
            <v>43020</v>
          </cell>
          <cell r="D323" t="str">
            <v xml:space="preserve">Office Expenses </v>
          </cell>
          <cell r="F323">
            <v>2500</v>
          </cell>
        </row>
        <row r="324">
          <cell r="A324">
            <v>43021</v>
          </cell>
          <cell r="D324" t="str">
            <v>Service Expenses</v>
          </cell>
          <cell r="F324">
            <v>5000</v>
          </cell>
        </row>
        <row r="325">
          <cell r="A325">
            <v>43024</v>
          </cell>
          <cell r="D325" t="str">
            <v>Lighting &amp; Power</v>
          </cell>
          <cell r="F325">
            <v>24950</v>
          </cell>
        </row>
        <row r="326">
          <cell r="A326">
            <v>43024</v>
          </cell>
          <cell r="D326" t="str">
            <v>Service Expenses</v>
          </cell>
          <cell r="F326">
            <v>2000</v>
          </cell>
        </row>
        <row r="327">
          <cell r="A327">
            <v>43025</v>
          </cell>
          <cell r="D327" t="str">
            <v>Rate &amp; Taxes</v>
          </cell>
          <cell r="F327">
            <v>1500</v>
          </cell>
        </row>
        <row r="328">
          <cell r="A328">
            <v>43027</v>
          </cell>
          <cell r="D328" t="str">
            <v xml:space="preserve">Office Expenses </v>
          </cell>
          <cell r="F328">
            <v>900</v>
          </cell>
        </row>
        <row r="329">
          <cell r="A329">
            <v>43028</v>
          </cell>
          <cell r="D329" t="str">
            <v>Fuel &amp; Oil</v>
          </cell>
          <cell r="F329">
            <v>18000</v>
          </cell>
        </row>
        <row r="330">
          <cell r="A330">
            <v>43028</v>
          </cell>
          <cell r="D330" t="str">
            <v xml:space="preserve">Office Expenses </v>
          </cell>
          <cell r="F330">
            <v>9000</v>
          </cell>
        </row>
        <row r="331">
          <cell r="A331">
            <v>43033</v>
          </cell>
          <cell r="D331" t="str">
            <v xml:space="preserve">Office Expenses </v>
          </cell>
          <cell r="F331">
            <v>25000</v>
          </cell>
        </row>
        <row r="332">
          <cell r="A332">
            <v>43035</v>
          </cell>
          <cell r="D332" t="str">
            <v xml:space="preserve">Office Expenses </v>
          </cell>
          <cell r="F332">
            <v>1800</v>
          </cell>
        </row>
        <row r="333">
          <cell r="A333">
            <v>43039</v>
          </cell>
          <cell r="D333" t="str">
            <v>Salaries</v>
          </cell>
          <cell r="F333">
            <v>890000</v>
          </cell>
        </row>
        <row r="334">
          <cell r="A334">
            <v>43039</v>
          </cell>
          <cell r="D334" t="str">
            <v>Service Expenses</v>
          </cell>
          <cell r="F334">
            <v>2000</v>
          </cell>
        </row>
        <row r="335">
          <cell r="A335">
            <v>43040</v>
          </cell>
          <cell r="D335" t="str">
            <v xml:space="preserve">Office Expenses </v>
          </cell>
          <cell r="F335">
            <v>1400</v>
          </cell>
        </row>
        <row r="336">
          <cell r="A336">
            <v>43040</v>
          </cell>
          <cell r="D336" t="str">
            <v>Rate &amp; Taxes</v>
          </cell>
          <cell r="F336">
            <v>1500</v>
          </cell>
        </row>
        <row r="337">
          <cell r="A337">
            <v>43041</v>
          </cell>
          <cell r="D337" t="str">
            <v>Communication charges</v>
          </cell>
          <cell r="F337">
            <v>6000</v>
          </cell>
        </row>
        <row r="338">
          <cell r="A338">
            <v>43044</v>
          </cell>
          <cell r="D338" t="str">
            <v>Fuel &amp; Oil</v>
          </cell>
          <cell r="F338">
            <v>23500</v>
          </cell>
        </row>
        <row r="339">
          <cell r="A339">
            <v>43045</v>
          </cell>
          <cell r="D339" t="str">
            <v>Books &amp; Periodicals</v>
          </cell>
          <cell r="F339">
            <v>2500</v>
          </cell>
        </row>
        <row r="340">
          <cell r="A340">
            <v>43046</v>
          </cell>
          <cell r="D340" t="str">
            <v xml:space="preserve">Office Expenses </v>
          </cell>
          <cell r="F340">
            <v>1800</v>
          </cell>
        </row>
        <row r="341">
          <cell r="A341">
            <v>43047</v>
          </cell>
          <cell r="D341" t="str">
            <v>Rate &amp; Taxes</v>
          </cell>
          <cell r="F341">
            <v>450</v>
          </cell>
        </row>
        <row r="342">
          <cell r="A342">
            <v>43048</v>
          </cell>
          <cell r="D342" t="str">
            <v>Communication charges</v>
          </cell>
          <cell r="F342">
            <v>43800</v>
          </cell>
        </row>
        <row r="343">
          <cell r="A343">
            <v>43048</v>
          </cell>
          <cell r="D343" t="str">
            <v>Communication charges</v>
          </cell>
          <cell r="F343">
            <v>2750</v>
          </cell>
        </row>
        <row r="344">
          <cell r="A344">
            <v>43048</v>
          </cell>
          <cell r="D344" t="str">
            <v xml:space="preserve">Office Expenses </v>
          </cell>
          <cell r="F344">
            <v>14200</v>
          </cell>
        </row>
        <row r="345">
          <cell r="A345">
            <v>43049</v>
          </cell>
          <cell r="D345" t="str">
            <v xml:space="preserve">Office Expenses </v>
          </cell>
          <cell r="F345">
            <v>1400</v>
          </cell>
        </row>
        <row r="346">
          <cell r="A346">
            <v>43050</v>
          </cell>
          <cell r="D346" t="str">
            <v xml:space="preserve">Office Expenses </v>
          </cell>
          <cell r="F346">
            <v>700</v>
          </cell>
        </row>
        <row r="347">
          <cell r="A347">
            <v>43054</v>
          </cell>
          <cell r="D347" t="str">
            <v xml:space="preserve">Office Expenses </v>
          </cell>
          <cell r="F347">
            <v>1800</v>
          </cell>
        </row>
        <row r="348">
          <cell r="A348">
            <v>43054</v>
          </cell>
          <cell r="D348" t="str">
            <v>Lighting &amp; Power</v>
          </cell>
          <cell r="F348">
            <v>24050</v>
          </cell>
        </row>
        <row r="349">
          <cell r="A349">
            <v>43056</v>
          </cell>
          <cell r="D349" t="str">
            <v>Service Expenses</v>
          </cell>
          <cell r="F349">
            <v>1800</v>
          </cell>
        </row>
        <row r="350">
          <cell r="A350">
            <v>43059</v>
          </cell>
          <cell r="D350" t="str">
            <v>Communication charges</v>
          </cell>
          <cell r="F350">
            <v>40550</v>
          </cell>
        </row>
        <row r="351">
          <cell r="A351">
            <v>43060</v>
          </cell>
          <cell r="D351" t="str">
            <v xml:space="preserve">Office Expenses </v>
          </cell>
          <cell r="F351">
            <v>1800</v>
          </cell>
        </row>
        <row r="352">
          <cell r="A352">
            <v>43063</v>
          </cell>
          <cell r="D352" t="str">
            <v>Fuel &amp; Oil</v>
          </cell>
          <cell r="F352">
            <v>21000</v>
          </cell>
        </row>
        <row r="353">
          <cell r="A353">
            <v>43067</v>
          </cell>
          <cell r="D353" t="str">
            <v>Export Expenses</v>
          </cell>
          <cell r="F353">
            <v>2000</v>
          </cell>
        </row>
        <row r="354">
          <cell r="A354">
            <v>43068</v>
          </cell>
          <cell r="D354" t="str">
            <v>Service Expenses</v>
          </cell>
          <cell r="F354">
            <v>900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CB-$"/>
      <sheetName val="Detail of Export Expenses"/>
      <sheetName val="Salary"/>
      <sheetName val="Export list"/>
      <sheetName val="4 5 6"/>
      <sheetName val=" TB-Q 1"/>
      <sheetName val="Journal"/>
      <sheetName val="FP(4 5 6)"/>
      <sheetName val="IS(4 5 6)"/>
      <sheetName val="CIE-4 5 6"/>
      <sheetName val="Note 1"/>
      <sheetName val="Admin(4 5 6)"/>
      <sheetName val="Dep;- 4K+C"/>
      <sheetName val="Note-5"/>
      <sheetName val="NCA 4 5 6"/>
      <sheetName val="Sheet3"/>
      <sheetName val="Cash-K"/>
      <sheetName val="Export-exp; 2"/>
    </sheetNames>
    <sheetDataSet>
      <sheetData sheetId="0">
        <row r="1">
          <cell r="A1" t="str">
            <v>Shwe Latha Co., Ltd.</v>
          </cell>
        </row>
        <row r="2">
          <cell r="A2" t="str">
            <v>Statement of Foreign Currency Bank Transition (MICB) ( 2017 - 2018)</v>
          </cell>
        </row>
        <row r="3">
          <cell r="A3" t="str">
            <v>(April,May,June)</v>
          </cell>
        </row>
        <row r="4">
          <cell r="I4" t="str">
            <v>USD to Kyat</v>
          </cell>
        </row>
        <row r="5">
          <cell r="A5" t="str">
            <v>Date</v>
          </cell>
          <cell r="D5" t="str">
            <v>Account Head</v>
          </cell>
          <cell r="I5" t="str">
            <v>Cash Receipts</v>
          </cell>
          <cell r="J5" t="str">
            <v>Cash Payment</v>
          </cell>
        </row>
        <row r="6">
          <cell r="A6">
            <v>42826</v>
          </cell>
          <cell r="I6">
            <v>0</v>
          </cell>
          <cell r="J6">
            <v>0</v>
          </cell>
        </row>
        <row r="7">
          <cell r="A7">
            <v>42832</v>
          </cell>
          <cell r="D7" t="str">
            <v xml:space="preserve">Export Expenses </v>
          </cell>
          <cell r="I7">
            <v>0</v>
          </cell>
          <cell r="J7">
            <v>127500</v>
          </cell>
        </row>
        <row r="8">
          <cell r="A8">
            <v>42846</v>
          </cell>
          <cell r="D8" t="str">
            <v>Sale Export</v>
          </cell>
          <cell r="I8">
            <v>51075000</v>
          </cell>
          <cell r="J8">
            <v>0</v>
          </cell>
        </row>
        <row r="9">
          <cell r="A9">
            <v>42850</v>
          </cell>
          <cell r="D9" t="str">
            <v>Transfer F.C</v>
          </cell>
          <cell r="I9">
            <v>0</v>
          </cell>
          <cell r="J9">
            <v>50700000</v>
          </cell>
        </row>
        <row r="10">
          <cell r="A10">
            <v>42850</v>
          </cell>
          <cell r="D10" t="str">
            <v>Bank Charges</v>
          </cell>
          <cell r="I10">
            <v>0</v>
          </cell>
          <cell r="J10">
            <v>2704</v>
          </cell>
        </row>
        <row r="11">
          <cell r="A11">
            <v>42870</v>
          </cell>
          <cell r="D11" t="str">
            <v xml:space="preserve">Export Expenses </v>
          </cell>
          <cell r="I11">
            <v>0</v>
          </cell>
          <cell r="J11">
            <v>40860</v>
          </cell>
        </row>
        <row r="12">
          <cell r="A12">
            <v>42880</v>
          </cell>
          <cell r="D12" t="str">
            <v xml:space="preserve">Export Expenses </v>
          </cell>
          <cell r="I12">
            <v>0</v>
          </cell>
          <cell r="J12">
            <v>127968.75</v>
          </cell>
        </row>
        <row r="13">
          <cell r="A13">
            <v>42888</v>
          </cell>
          <cell r="D13" t="str">
            <v>Sale Export</v>
          </cell>
          <cell r="I13">
            <v>50868750</v>
          </cell>
          <cell r="J13">
            <v>0</v>
          </cell>
        </row>
        <row r="14">
          <cell r="A14">
            <v>42888</v>
          </cell>
          <cell r="D14" t="str">
            <v xml:space="preserve">Export Expenses </v>
          </cell>
          <cell r="I14">
            <v>0</v>
          </cell>
          <cell r="J14">
            <v>40695</v>
          </cell>
        </row>
        <row r="15">
          <cell r="A15">
            <v>42891</v>
          </cell>
          <cell r="D15" t="str">
            <v xml:space="preserve">Export Expenses </v>
          </cell>
          <cell r="I15">
            <v>0</v>
          </cell>
          <cell r="J15">
            <v>34025</v>
          </cell>
        </row>
        <row r="16">
          <cell r="A16">
            <v>42905</v>
          </cell>
          <cell r="D16" t="str">
            <v>Transfer F.C</v>
          </cell>
          <cell r="I16">
            <v>0</v>
          </cell>
          <cell r="J16">
            <v>51037500</v>
          </cell>
        </row>
        <row r="17">
          <cell r="A17">
            <v>42905</v>
          </cell>
          <cell r="D17" t="str">
            <v>Bank Charges</v>
          </cell>
          <cell r="I17">
            <v>0</v>
          </cell>
          <cell r="J17">
            <v>2722</v>
          </cell>
        </row>
        <row r="18">
          <cell r="A18">
            <v>42916</v>
          </cell>
          <cell r="D18" t="str">
            <v>Exchange Gain/ (Loss)</v>
          </cell>
          <cell r="I18">
            <v>-206368.24999999697</v>
          </cell>
          <cell r="J18">
            <v>206368.24999999697</v>
          </cell>
        </row>
        <row r="23">
          <cell r="A23" t="str">
            <v>(July,Aug,Sept)</v>
          </cell>
        </row>
        <row r="24">
          <cell r="I24" t="str">
            <v>USD to Kyat</v>
          </cell>
        </row>
        <row r="25">
          <cell r="A25" t="str">
            <v>Date</v>
          </cell>
          <cell r="D25" t="str">
            <v>Account Head</v>
          </cell>
          <cell r="I25" t="str">
            <v>Cash Receipts</v>
          </cell>
          <cell r="J25" t="str">
            <v>Cash Payment</v>
          </cell>
        </row>
        <row r="26">
          <cell r="A26">
            <v>42917</v>
          </cell>
          <cell r="I26">
            <v>0</v>
          </cell>
          <cell r="J26">
            <v>0</v>
          </cell>
        </row>
        <row r="27">
          <cell r="A27">
            <v>42919</v>
          </cell>
          <cell r="D27" t="str">
            <v xml:space="preserve">Export Expenses </v>
          </cell>
          <cell r="I27">
            <v>0</v>
          </cell>
          <cell r="J27">
            <v>40860</v>
          </cell>
        </row>
        <row r="28">
          <cell r="A28">
            <v>42922</v>
          </cell>
          <cell r="D28" t="str">
            <v xml:space="preserve">Export Expenses </v>
          </cell>
          <cell r="I28">
            <v>0</v>
          </cell>
          <cell r="J28">
            <v>106917</v>
          </cell>
        </row>
        <row r="29">
          <cell r="A29">
            <v>42928</v>
          </cell>
          <cell r="D29" t="str">
            <v>Receivable Trade</v>
          </cell>
          <cell r="I29">
            <v>42641200</v>
          </cell>
          <cell r="J29">
            <v>0</v>
          </cell>
        </row>
        <row r="30">
          <cell r="A30">
            <v>42928</v>
          </cell>
          <cell r="D30" t="str">
            <v>Transfer F.C</v>
          </cell>
          <cell r="I30">
            <v>0</v>
          </cell>
          <cell r="J30">
            <v>40980000</v>
          </cell>
        </row>
        <row r="31">
          <cell r="A31">
            <v>42928</v>
          </cell>
          <cell r="D31" t="str">
            <v>Bank Charges</v>
          </cell>
          <cell r="I31">
            <v>0</v>
          </cell>
          <cell r="J31">
            <v>2732</v>
          </cell>
        </row>
        <row r="32">
          <cell r="A32">
            <v>42937</v>
          </cell>
          <cell r="D32" t="str">
            <v xml:space="preserve">Export Expenses </v>
          </cell>
          <cell r="I32">
            <v>0</v>
          </cell>
          <cell r="J32">
            <v>135234</v>
          </cell>
        </row>
        <row r="33">
          <cell r="A33">
            <v>42947</v>
          </cell>
          <cell r="D33" t="str">
            <v>Sale Export</v>
          </cell>
          <cell r="I33">
            <v>53911440</v>
          </cell>
          <cell r="J33">
            <v>0</v>
          </cell>
        </row>
        <row r="34">
          <cell r="A34">
            <v>42948</v>
          </cell>
          <cell r="D34" t="str">
            <v xml:space="preserve">Export Expenses </v>
          </cell>
          <cell r="I34">
            <v>0</v>
          </cell>
          <cell r="J34">
            <v>40860</v>
          </cell>
        </row>
        <row r="35">
          <cell r="A35">
            <v>42956</v>
          </cell>
          <cell r="D35" t="str">
            <v>Transfer F.C</v>
          </cell>
          <cell r="I35">
            <v>0</v>
          </cell>
          <cell r="J35">
            <v>54520000</v>
          </cell>
        </row>
        <row r="36">
          <cell r="A36">
            <v>42956</v>
          </cell>
          <cell r="D36" t="str">
            <v>Bank Charges</v>
          </cell>
          <cell r="I36">
            <v>0</v>
          </cell>
          <cell r="J36">
            <v>2726</v>
          </cell>
        </row>
        <row r="37">
          <cell r="A37">
            <v>42957</v>
          </cell>
          <cell r="D37" t="str">
            <v xml:space="preserve">Export Expenses </v>
          </cell>
          <cell r="I37">
            <v>0</v>
          </cell>
          <cell r="J37">
            <v>134937</v>
          </cell>
        </row>
        <row r="38">
          <cell r="A38">
            <v>42970</v>
          </cell>
          <cell r="D38" t="str">
            <v>Sale Export</v>
          </cell>
          <cell r="I38">
            <v>54093600</v>
          </cell>
          <cell r="J38">
            <v>0</v>
          </cell>
        </row>
        <row r="39">
          <cell r="A39">
            <v>42947</v>
          </cell>
          <cell r="D39" t="str">
            <v>Exchange Gain/ (Loss)</v>
          </cell>
          <cell r="I39">
            <v>-193117.91000000387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5">
          <cell r="A45" t="str">
            <v>(July,Aug,Sept)</v>
          </cell>
        </row>
        <row r="46">
          <cell r="I46" t="str">
            <v>USD to Kyat</v>
          </cell>
        </row>
        <row r="47">
          <cell r="A47" t="str">
            <v>Date</v>
          </cell>
          <cell r="D47" t="str">
            <v>Account Head</v>
          </cell>
          <cell r="I47" t="str">
            <v>Cash Receipts</v>
          </cell>
          <cell r="J47" t="str">
            <v>Cash Payment</v>
          </cell>
        </row>
        <row r="48">
          <cell r="A48">
            <v>43009</v>
          </cell>
          <cell r="I48">
            <v>0</v>
          </cell>
          <cell r="J48">
            <v>0</v>
          </cell>
        </row>
        <row r="49">
          <cell r="A49">
            <v>43017</v>
          </cell>
          <cell r="D49" t="str">
            <v>Transfer F.C</v>
          </cell>
          <cell r="I49">
            <v>0</v>
          </cell>
          <cell r="J49">
            <v>0</v>
          </cell>
        </row>
        <row r="50">
          <cell r="A50">
            <v>43017</v>
          </cell>
          <cell r="D50" t="str">
            <v>Bank Charges</v>
          </cell>
          <cell r="I50">
            <v>0</v>
          </cell>
          <cell r="J50">
            <v>0</v>
          </cell>
        </row>
        <row r="51">
          <cell r="A51">
            <v>43047</v>
          </cell>
          <cell r="D51" t="str">
            <v xml:space="preserve">Export Expenses </v>
          </cell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5">
          <cell r="I55">
            <v>0</v>
          </cell>
          <cell r="J55">
            <v>0</v>
          </cell>
        </row>
        <row r="56">
          <cell r="I56">
            <v>0</v>
          </cell>
          <cell r="J56">
            <v>0</v>
          </cell>
        </row>
        <row r="57">
          <cell r="I57">
            <v>0</v>
          </cell>
          <cell r="J57">
            <v>0</v>
          </cell>
        </row>
        <row r="58">
          <cell r="I58">
            <v>0</v>
          </cell>
          <cell r="J58">
            <v>0</v>
          </cell>
        </row>
        <row r="59">
          <cell r="I59">
            <v>0</v>
          </cell>
          <cell r="J59">
            <v>0</v>
          </cell>
        </row>
        <row r="60">
          <cell r="I60">
            <v>0</v>
          </cell>
          <cell r="J60">
            <v>0</v>
          </cell>
        </row>
        <row r="61">
          <cell r="I61">
            <v>0</v>
          </cell>
          <cell r="J61">
            <v>0</v>
          </cell>
        </row>
        <row r="62">
          <cell r="I62">
            <v>0</v>
          </cell>
          <cell r="J62">
            <v>0</v>
          </cell>
        </row>
        <row r="63">
          <cell r="I63">
            <v>0</v>
          </cell>
          <cell r="J63">
            <v>0</v>
          </cell>
        </row>
        <row r="75">
          <cell r="I75">
            <v>101943750</v>
          </cell>
          <cell r="J75">
            <v>101983752.75</v>
          </cell>
        </row>
        <row r="77">
          <cell r="J77">
            <v>-40002.75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Shwe Latha Co.,Ltd.</v>
          </cell>
        </row>
      </sheetData>
      <sheetData sheetId="17"/>
    </sheetDataSet>
  </externalBook>
</externalLink>
</file>

<file path=xl/tables/table1.xml><?xml version="1.0" encoding="utf-8"?>
<table xmlns="http://schemas.openxmlformats.org/spreadsheetml/2006/main" id="10" name="NCA_Rate" displayName="NCA_Rate" ref="F1:G17" totalsRowShown="0">
  <autoFilter ref="F1:G17"/>
  <tableColumns count="2">
    <tableColumn id="1" name="NCA Group"/>
    <tableColumn id="2" name="Rat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9" name="NCA" displayName="NCA" ref="A2:P26" totalsRowShown="0" headerRowDxfId="152" dataDxfId="151" headerRowCellStyle="Comma 2" dataCellStyle="Comma 2">
  <autoFilter ref="A2:P26"/>
  <tableColumns count="16">
    <tableColumn id="1" name="No" dataDxfId="150" dataCellStyle="Comma">
      <calculatedColumnFormula>COUNTIFS(NCA[[#Headers],[Account Head]]:NCA[[#This Row],[Account Head]],NCA[[#This Row],[Account Head]])</calculatedColumnFormula>
    </tableColumn>
    <tableColumn id="2" name="Purchase _x000a_Date" dataDxfId="149" dataCellStyle="Comma 2"/>
    <tableColumn id="3" name="Particulars" dataDxfId="148" dataCellStyle="Comma 2"/>
    <tableColumn id="4" name="Account Head" dataDxfId="147" dataCellStyle="Comma 2"/>
    <tableColumn id="5" name="Opening Original Cost" dataDxfId="146" dataCellStyle="Comma 2"/>
    <tableColumn id="6" name="Additional Cost " dataDxfId="145" dataCellStyle="Comma 2"/>
    <tableColumn id="7" name="Sales of NCA" dataDxfId="144" dataCellStyle="Comma 2"/>
    <tableColumn id="9" name="Total Cost" dataDxfId="143" dataCellStyle="Comma 2">
      <calculatedColumnFormula>SUM(NCA[[#This Row],[Opening Original Cost]:[Sales of NCA]])</calculatedColumnFormula>
    </tableColumn>
    <tableColumn id="10" name="Rate %" dataDxfId="142" dataCellStyle="Comma 2">
      <calculatedColumnFormula>IFERROR(VLOOKUP(NCA[[#This Row],[Account Head]],NCA_Rate[],2,0),0)</calculatedColumnFormula>
    </tableColumn>
    <tableColumn id="11" name="Opening Depreciation" dataDxfId="141" dataCellStyle="Comma 2">
      <calculatedColumnFormula>ROUND(NCA[[#This Row],[Total Cost]]*NCA[[#This Row],[Rate %]]%*IF(NCA[[#This Row],[31 March 2018]]&lt;$J$1,0,NCA[[#This Row],[31 March 2018]]-$J$1)/$J$1,2)</calculatedColumnFormula>
    </tableColumn>
    <tableColumn id="12" name="Depreciation for the Year" dataDxfId="140" dataCellStyle="Comma 2">
      <calculatedColumnFormula>ROUND(NCA[[#This Row],[Total Cost]]*NCA[[#This Row],[Rate %]]%*IF(NCA[[#This Row],[31 March 2018]]&gt;$J$1,$J$1,NCA[[#This Row],[31 March 2018]])/$J$1,2)</calculatedColumnFormula>
    </tableColumn>
    <tableColumn id="13" name="Accumulated Dep _x000a_on Disposal" dataDxfId="139" dataCellStyle="Comma 2"/>
    <tableColumn id="14" name="Accumulated Depreciation" dataDxfId="138" dataCellStyle="Comma 2">
      <calculatedColumnFormula>SUM(J3:K3)</calculatedColumnFormula>
    </tableColumn>
    <tableColumn id="15" name="Carrying Value - Kyat" dataDxfId="137" dataCellStyle="Comma 2">
      <calculatedColumnFormula>ROUND(NCA[[#This Row],[Total Cost]]-NCA[[#This Row],[Accumulated Depreciation]],2)</calculatedColumnFormula>
    </tableColumn>
    <tableColumn id="16" name="31 March 2018" dataDxfId="136" dataCellStyle="Comma 2">
      <calculatedColumnFormula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calculatedColumnFormula>
    </tableColumn>
    <tableColumn id="17" name="Dep for 12 months" dataDxfId="135" dataCellStyle="Comma 2">
      <calculatedColumnFormula>NCA[[#This Row],[Total Cost]]*NCA[[#This Row],[Rate %]]%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1" name="Transation" displayName="Transation" ref="A1:Z35" totalsRowCount="1" headerRowDxfId="125" dataDxfId="124" totalsRowDxfId="123" headerRowCellStyle="Comma" dataCellStyle="Comma" totalsRowCellStyle="Comma">
  <autoFilter ref="A1:Z34"/>
  <sortState ref="A2:Z64">
    <sortCondition ref="A1:A64"/>
  </sortState>
  <tableColumns count="26">
    <tableColumn id="1" name="Date" totalsRowLabel="Total" dataDxfId="122" totalsRowDxfId="121" dataCellStyle="Comma"/>
    <tableColumn id="2" name="Reference" dataDxfId="120" totalsRowDxfId="119" dataCellStyle="Comma"/>
    <tableColumn id="3" name="Particulars" dataDxfId="118" totalsRowDxfId="117" dataCellStyle="Comma"/>
    <tableColumn id="4" name="Account Head" dataDxfId="116" totalsRowDxfId="115" dataCellStyle="Comma"/>
    <tableColumn id="5" name="Receipt (Debit)" totalsRowFunction="sum" dataDxfId="114" totalsRowDxfId="113" dataCellStyle="Comma"/>
    <tableColumn id="6" name="Payment (Credit)" totalsRowFunction="sum" dataDxfId="112" totalsRowDxfId="111" dataCellStyle="Comma"/>
    <tableColumn id="7" name="Cash Balance" totalsRowFunction="custom" dataDxfId="110" totalsRowDxfId="109" dataCellStyle="Comma">
      <calculatedColumnFormula>ROUND(SUM(INDEX(Transation[Receipt (Debit)],1):Transation[[#This Row],[Receipt (Debit)]])-SUM(INDEX(Transation[Payment (Credit)],1):Transation[[#This Row],[Payment (Credit)]]),4)</calculatedColumnFormula>
      <totalsRowFormula>ROUND(Transation[[#Totals],[Receipt (Debit)]]-Transation[[#Totals],[Payment (Credit)]],4)</totalsRowFormula>
    </tableColumn>
    <tableColumn id="19" name="Bank Name" dataDxfId="108" totalsRowDxfId="107" dataCellStyle="Comma"/>
    <tableColumn id="9" name="Deposit" totalsRowFunction="sum" dataDxfId="106" totalsRowDxfId="105" dataCellStyle="Comma"/>
    <tableColumn id="10" name="Withdraw" totalsRowFunction="sum" dataDxfId="104" totalsRowDxfId="103" dataCellStyle="Comma"/>
    <tableColumn id="11" name="Bank Balance" totalsRowFunction="custom" dataDxfId="102" totalsRowDxfId="101" dataCellStyle="Comma">
      <calculatedColumnFormula>ROUND(SUBTOTAL(9,INDEX(Transation[Deposit],1):Transation[[#This Row],[Deposit]])-SUBTOTAL(9,INDEX(Transation[Withdraw],1):Transation[[#This Row],[Withdraw]]),4)</calculatedColumnFormula>
      <totalsRowFormula>ROUND(Transation[[#Totals],[Deposit]]-Transation[[#Totals],[Withdraw]],4)</totalsRowFormula>
    </tableColumn>
    <tableColumn id="18" name="Jr-Dr" totalsRowFunction="sum" dataDxfId="100" totalsRowDxfId="99" dataCellStyle="Comma"/>
    <tableColumn id="17" name="Jr-Cr" totalsRowFunction="sum" dataDxfId="98" totalsRowDxfId="97" dataCellStyle="Comma"/>
    <tableColumn id="13" name="Debit" totalsRowFunction="sum" dataDxfId="96" totalsRowDxfId="95" dataCellStyle="Comma">
      <calculatedColumnFormula>ROUND(IF(Transation[[#This Row],[Is Contra]],0,Transation[[#This Row],[Payment (Credit)]]+Transation[[#This Row],[Withdraw]]+Transation[[#This Row],[Jr-Dr]]),4)</calculatedColumnFormula>
    </tableColumn>
    <tableColumn id="14" name="Credit" totalsRowFunction="sum" dataDxfId="94" totalsRowDxfId="93" dataCellStyle="Comma">
      <calculatedColumnFormula>ROUND(IF(Transation[[#This Row],[Is Contra]],0,Transation[[#This Row],[Receipt (Debit)]]+Transation[[#This Row],[Deposit]]+Transation[[#This Row],[Jr-Cr]]),4)</calculatedColumnFormula>
    </tableColumn>
    <tableColumn id="15" name="Balance" totalsRowFunction="custom" dataDxfId="92" totalsRowDxfId="91" dataCellStyle="Comma">
      <calculatedColumnFormula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calculatedColumnFormula>
      <totalsRowFormula>ROUND(Transation[[#Totals],[Debit]]-Transation[[#Totals],[Credit]],4)</totalsRowFormula>
    </tableColumn>
    <tableColumn id="16" name="Is Credit" totalsRowFunction="custom" dataDxfId="90" totalsRowDxfId="89" dataCellStyle="Comma">
      <calculatedColumnFormula>IF(ISBLANK(Transation[[#This Row],[Account Head]]),"",_xlfn.IFNA(INDEX(Tri[IsCredit],MATCH(Transation[[#This Row],[Account Head]],Tri[Account],0)),""))</calculatedColumnFormula>
      <totalsRowFormula>Transation[[#Totals],[Credit]]-Transation[[#Totals],[Debit]]</totalsRowFormula>
    </tableColumn>
    <tableColumn id="12" name="Is Contra" dataDxfId="88" totalsRowDxfId="87" dataCellStyle="Comma">
      <calculatedColumnFormula>OR(Transation[[#This Row],[Is Contra C&amp;B]:[Is Contra C&amp;J]])</calculatedColumnFormula>
    </tableColumn>
    <tableColumn id="8" name="Is Contra C&amp;B" dataDxfId="86" totalsRowDxfId="85" dataCellStyle="Comma">
      <calculatedColumnFormula>IF(AND(Transation[[#This Row],[Cash Transation]],Transation[[#This Row],[Bank Transation]]),AND(Transation[[#This Row],[Receipt (Debit)]]=Transation[[#This Row],[Withdraw]],Transation[[#This Row],[Payment (Credit)]]=Transation[[#This Row],[Deposit]]))</calculatedColumnFormula>
    </tableColumn>
    <tableColumn id="20" name="Is Contra B&amp;J" dataDxfId="84" totalsRowDxfId="83" dataCellStyle="Comma">
      <calculatedColumnFormula>IF(AND(Transation[[#This Row],[Bank Transation]],Transation[[#This Row],[Jr Transation]]),AND(Transation[[#This Row],[Withdraw]]=Transation[[#This Row],[Jr-Cr]],Transation[[#This Row],[Deposit]]=Transation[[#This Row],[Jr-Dr]]))</calculatedColumnFormula>
    </tableColumn>
    <tableColumn id="21" name="Is Contra C&amp;J" dataDxfId="82" totalsRowDxfId="81" dataCellStyle="Comma">
      <calculatedColumnFormula>IF(AND(Transation[[#This Row],[Cash Transation]],Transation[[#This Row],[Jr Transation]]),AND(Transation[[#This Row],[Payment (Credit)]]=Transation[[#This Row],[Jr-Cr]],Transation[[#This Row],[Receipt (Debit)]]=Transation[[#This Row],[Jr-Dr]]))</calculatedColumnFormula>
    </tableColumn>
    <tableColumn id="22" name="Cash Transation" dataDxfId="80" totalsRowDxfId="79" dataCellStyle="Comma">
      <calculatedColumnFormula>OR(NOT(ISBLANK(Transation[[#This Row],[Receipt (Debit)]])),NOT(ISBLANK(Transation[[#This Row],[Payment (Credit)]])))</calculatedColumnFormula>
    </tableColumn>
    <tableColumn id="25" name="Bank Transation" dataDxfId="78" totalsRowDxfId="77" dataCellStyle="Comma">
      <calculatedColumnFormula>OR(NOT(ISBLANK(Transation[[#This Row],[Deposit]])),NOT(ISBLANK(Transation[[#This Row],[Withdraw]])))</calculatedColumnFormula>
    </tableColumn>
    <tableColumn id="23" name="Jr Transation" dataDxfId="76" totalsRowDxfId="75" dataCellStyle="Comma">
      <calculatedColumnFormula>OR(NOT(ISBLANK(Transation[[#This Row],[Jr-Dr]])),NOT(ISBLANK(Transation[[#This Row],[Jr-Cr]])))</calculatedColumnFormula>
    </tableColumn>
    <tableColumn id="24" name="Checking" dataDxfId="74" totalsRowDxfId="73" dataCellStyle="Comma">
      <calculatedColumnFormula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calculatedColumnFormula>
    </tableColumn>
    <tableColumn id="26" name="Date Check" dataDxfId="72" totalsRowDxfId="71" dataCellStyle="Comma">
      <calculatedColumnFormula>IF(ISBLANK(Transation[[#This Row],[Date]]),0,Transation[[#This Row],[Date]]-INDEX(Transation[Date],MATCH("Opening",Transation[Reference],0)))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5" name="Tri" displayName="Tri" ref="A8:K63" totalsRowCount="1" headerRowDxfId="67" dataDxfId="66" totalsRowDxfId="65" headerRowCellStyle="Comma" dataCellStyle="Comma" totalsRowCellStyle="Comma">
  <autoFilter ref="A8:K62"/>
  <sortState ref="A3:J34">
    <sortCondition ref="J2:J34"/>
  </sortState>
  <tableColumns count="11">
    <tableColumn id="1" name="Account" totalsRowLabel="Total" dataDxfId="64" totalsRowDxfId="63" dataCellStyle="Comma"/>
    <tableColumn id="2" name="Debit" totalsRowFunction="sum" dataDxfId="62" totalsRowDxfId="61" dataCellStyle="Comma">
      <calculatedColumnFormula>SUMIFS(Transation[Debit],Transation[Account Head],Tri[[#This Row],[Account]],Transation[Reference],"&lt;&gt;JC*")</calculatedColumnFormula>
    </tableColumn>
    <tableColumn id="3" name="Credit" totalsRowFunction="sum" dataDxfId="60" totalsRowDxfId="59" dataCellStyle="Comma">
      <calculatedColumnFormula>SUMIFS(Transation[Credit],Transation[Account Head],Tri[[#This Row],[Account]],Transation[Reference],"&lt;&gt;JC*")</calculatedColumnFormula>
    </tableColumn>
    <tableColumn id="7" name="Type" dataDxfId="58" totalsRowDxfId="57" dataCellStyle="Comma"/>
    <tableColumn id="5" name="Balance" totalsRowFunction="sum" dataDxfId="56" totalsRowDxfId="55" dataCellStyle="Comma">
      <calculatedColumnFormula>ROUND(_xlfn.IFNA(IF(Tri[[#This Row],[IsCredit]],Tri[[#This Row],[Credit]]-Tri[[#This Row],[Debit]],Tri[[#This Row],[Debit]]-Tri[[#This Row],[Credit]]),0),4)</calculatedColumnFormula>
    </tableColumn>
    <tableColumn id="9" name="IsCredit" dataDxfId="54" totalsRowDxfId="53" dataCellStyle="Comma">
      <calculatedColumnFormula>_xlfn.IFNA(VLOOKUP(Tri[[#This Row],[Type]],AccType[],4,FALSE),FALSE)</calculatedColumnFormula>
    </tableColumn>
    <tableColumn id="11" name="Closed Balance" dataDxfId="52" totalsRowDxfId="51" dataCellStyle="Comma">
      <calculatedColumnFormula>ROUND((SUMIFS(Transation[Debit],Transation[Account Head],Tri[[#This Row],[Account]])-SUMIFS(Transation[Credit],Transation[Account Head],Tri[[#This Row],[Account]]))*IF(Tri[[#This Row],[IsCredit]],-1,1),4)</calculatedColumnFormula>
    </tableColumn>
    <tableColumn id="8" name="Cash" totalsRowFunction="sum" dataDxfId="50" totalsRowDxfId="49" dataCellStyle="Comma">
      <calculatedColumnFormula>ROUND(SUMIFS(Transation[Receipt (Debit)],Transation[Account Head],Tri[[#This Row],[Account]],Transation[Reference],"&lt;&gt;Opening")-SUMIFS(Transation[Payment (Credit)],Transation[Account Head],Tri[[#This Row],[Account]],Transation[Reference],"&lt;&gt;Opening"),4)</calculatedColumnFormula>
    </tableColumn>
    <tableColumn id="4" name="Bank" totalsRowFunction="sum" dataDxfId="48" totalsRowDxfId="47" dataCellStyle="Comma">
      <calculatedColumnFormula>ROUND(SUMIFS(Transation[Deposit],Transation[Account Head],Tri[[#This Row],[Account]],Transation[Reference],"&lt;&gt;Opening")-SUMIFS(Transation[Withdraw],Transation[Account Head],Tri[[#This Row],[Account]],Transation[Reference],"&lt;&gt;Opening"),4)</calculatedColumnFormula>
    </tableColumn>
    <tableColumn id="6" name="Jr" totalsRowFunction="sum" dataDxfId="46" totalsRowDxfId="45" dataCellStyle="Comma">
      <calculatedColumnFormula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calculatedColumnFormula>
    </tableColumn>
    <tableColumn id="10" name="Net CF" totalsRowFunction="sum" dataDxfId="44" totalsRowDxfId="43" dataCellStyle="Comma">
      <calculatedColumnFormula>SUM(Tri[[#This Row],[Cash]:[Jr]])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id="3" name="Lst_Acc" displayName="Lst_Acc" ref="M8:N58" totalsRowShown="0" headerRowDxfId="42" dataDxfId="41" headerRowCellStyle="Comma" dataCellStyle="Comma">
  <autoFilter ref="M8:N58"/>
  <tableColumns count="2">
    <tableColumn id="1" name="AccHead" dataDxfId="40" dataCellStyle="Comma">
      <calculatedColumnFormula array="1">_xlfn.IFNA(INDEX(Transation[Account Head],MATCH(0,COUNTIF(Lst_Acc[[#Headers],[AccHead]]:OFFSET(Lst_Acc[[#This Row],[AccHead]],-1,0),Transation[Account Head]),0)),)</calculatedColumnFormula>
    </tableColumn>
    <tableColumn id="3" name="Tri" dataDxfId="39" dataCellStyle="Comma">
      <calculatedColumnFormula>_xlfn.IFNA(ISNUMBER(MATCH(Lst_Acc[[#This Row],[AccHead]],Tri[Account],0)),FALSE)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4" name="AccType" displayName="AccType" ref="N1:Q33" totalsRowCount="1" headerRowDxfId="38" dataDxfId="37" headerRowCellStyle="Comma" dataCellStyle="Comma">
  <autoFilter ref="N1:Q32"/>
  <tableColumns count="4">
    <tableColumn id="1" name="Type" totalsRowLabel="Total" dataDxfId="36" totalsRowDxfId="35" dataCellStyle="Comma"/>
    <tableColumn id="2" name="Net Cash Flow" totalsRowFunction="custom" dataDxfId="34" totalsRowDxfId="33" dataCellStyle="Comma">
      <calculatedColumnFormula>SUMIF(Tri[Type],AccType[[#This Row],[Type]],Tri[Cash])</calculatedColumnFormula>
      <totalsRowFormula>ROUND(SUBTOTAL(109,AccType[Net Cash Flow]),4)</totalsRowFormula>
    </tableColumn>
    <tableColumn id="4" name="Net Bank Flow" totalsRowFunction="custom" dataDxfId="32" totalsRowDxfId="31" dataCellStyle="Comma">
      <calculatedColumnFormula>SUMIF(Tri[Type],AccType[[#This Row],[Type]],Tri[Bank])</calculatedColumnFormula>
      <totalsRowFormula>ROUND(SUBTOTAL(109,AccType[Net Bank Flow]),4)</totalsRowFormula>
    </tableColumn>
    <tableColumn id="3" name="IsCredit" totalsRowFunction="count" dataDxfId="30" totalsRowDxfId="29" dataCellStyle="Comma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6" name="FP" displayName="FP" ref="D2:F24" totalsRowCount="1" headerRowDxfId="28" dataDxfId="27" totalsRowDxfId="26" headerRowCellStyle="Comma" dataCellStyle="Comma" totalsRowCellStyle="Comma">
  <autoFilter ref="D2:F23"/>
  <tableColumns count="3">
    <tableColumn id="1" name="Particular" totalsRowLabel="Total" dataDxfId="25" totalsRowDxfId="24" dataCellStyle="Comma"/>
    <tableColumn id="2" name="Debit" totalsRowFunction="sum" dataDxfId="23" totalsRowDxfId="22" dataCellStyle="Comma">
      <calculatedColumnFormula>SUMIFS(Tri[Balance],Tri[IsCredit],FALSE,Tri[Type],FP[[#This Row],[Particular]])</calculatedColumnFormula>
    </tableColumn>
    <tableColumn id="3" name="Credit" totalsRowFunction="custom" dataDxfId="21" totalsRowDxfId="20" dataCellStyle="Comma">
      <calculatedColumnFormula>SUMIFS(Tri[Balance],Tri[IsCredit],TRUE,Tri[Type],FP[[#This Row],[Particular]])</calculatedColumnFormula>
      <totalsRowFormula>ROUND(SUBTOTAL(109,FP[Credit]),4)</totalsRow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id="7" name="IS" displayName="IS" ref="K2:L10" totalsRowCount="1" headerRowDxfId="19" dataDxfId="18" totalsRowDxfId="17" headerRowCellStyle="Comma" dataCellStyle="Comma" totalsRowCellStyle="Comma">
  <autoFilter ref="K2:L9"/>
  <tableColumns count="2">
    <tableColumn id="1" name="Particular" totalsRowLabel=" NP Before Tax " dataDxfId="16" totalsRowDxfId="15" dataCellStyle="Comma"/>
    <tableColumn id="2" name="Amount" totalsRowFunction="custom" dataDxfId="14" totalsRowDxfId="13" dataCellStyle="Comma">
      <calculatedColumnFormula>SUMIF(Tri[Type],IS[[#This Row],[Particular]],Tri[Balance])</calculatedColumnFormula>
      <totalsRowFormula>ROUND(SUBTOTAL(109,IS[Amount]),4)</totalsRowFormula>
    </tableColumn>
  </tableColumns>
  <tableStyleInfo name="TableStyleLight10" showFirstColumn="0" showLastColumn="0" showRowStripes="1" showColumnStripes="0"/>
</table>
</file>

<file path=xl/tables/table9.xml><?xml version="1.0" encoding="utf-8"?>
<table xmlns="http://schemas.openxmlformats.org/spreadsheetml/2006/main" id="2" name="CIE" displayName="CIE" ref="H2:I10" totalsRowCount="1" headerRowDxfId="12" dataDxfId="11" totalsRowDxfId="10" headerRowCellStyle="Comma" dataCellStyle="Comma" totalsRowCellStyle="Comma">
  <autoFilter ref="H2:I9"/>
  <tableColumns count="2">
    <tableColumn id="1" name="Particular" totalsRowLabel="RE" dataDxfId="9" totalsRowDxfId="8" dataCellStyle="Comma"/>
    <tableColumn id="2" name="Amount" totalsRowFunction="custom" dataDxfId="7" totalsRowDxfId="6" dataCellStyle="Comma">
      <totalsRowFormula>ROUND(SUBTOTAL(109,CIE[Amount]),4)</totalsRowFormula>
    </tableColumn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CF" displayName="CF" ref="A2:B29" totalsRowCount="1" headerRowDxfId="5" dataDxfId="4" headerRowCellStyle="Comma" dataCellStyle="Comma">
  <autoFilter ref="A2:B28"/>
  <tableColumns count="2">
    <tableColumn id="1" name="Particular" totalsRowLabel=" Net Increase / (Decrease) in cash &amp; cash equivalents " dataDxfId="3" totalsRowDxfId="2" dataCellStyle="Comma"/>
    <tableColumn id="2" name="Amount" totalsRowFunction="custom" dataDxfId="1" totalsRowDxfId="0" dataCellStyle="Comma">
      <totalsRowFormula>ROUND(SUBTOTAL(109,CF[Amount]),4)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Frame">
  <a:themeElements>
    <a:clrScheme name="Frame">
      <a:dk1>
        <a:srgbClr val="000000"/>
      </a:dk1>
      <a:lt1>
        <a:srgbClr val="FFFFFF"/>
      </a:lt1>
      <a:dk2>
        <a:srgbClr val="545454"/>
      </a:dk2>
      <a:lt2>
        <a:srgbClr val="BFBFBF"/>
      </a:lt2>
      <a:accent1>
        <a:srgbClr val="40BAD2"/>
      </a:accent1>
      <a:accent2>
        <a:srgbClr val="FAB900"/>
      </a:accent2>
      <a:accent3>
        <a:srgbClr val="90BB23"/>
      </a:accent3>
      <a:accent4>
        <a:srgbClr val="EE7008"/>
      </a:accent4>
      <a:accent5>
        <a:srgbClr val="1AB39F"/>
      </a:accent5>
      <a:accent6>
        <a:srgbClr val="D5393D"/>
      </a:accent6>
      <a:hlink>
        <a:srgbClr val="90BB23"/>
      </a:hlink>
      <a:folHlink>
        <a:srgbClr val="EE7008"/>
      </a:folHlink>
    </a:clrScheme>
    <a:fontScheme name="Frame">
      <a:maj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Fram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20000"/>
                <a:lumMod val="102000"/>
              </a:schemeClr>
            </a:gs>
            <a:gs pos="48000">
              <a:schemeClr val="phClr">
                <a:tint val="98000"/>
                <a:shade val="90000"/>
                <a:satMod val="110000"/>
                <a:lumMod val="103000"/>
              </a:schemeClr>
            </a:gs>
            <a:gs pos="100000">
              <a:schemeClr val="phClr">
                <a:tint val="98000"/>
                <a:shade val="8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rame" id="{F226E7A2-7162-461C-9490-D27D9DC04E43}" vid="{629A0216-3BBD-45C0-B63F-2683BEA18F6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F1:G2"/>
  <sheetViews>
    <sheetView workbookViewId="0">
      <selection activeCell="F5" sqref="F5"/>
    </sheetView>
  </sheetViews>
  <sheetFormatPr defaultRowHeight="14.4" x14ac:dyDescent="0.3"/>
  <cols>
    <col min="1" max="1" width="57" customWidth="1"/>
    <col min="2" max="2" width="10.6640625" customWidth="1"/>
  </cols>
  <sheetData>
    <row r="1" spans="6:7" x14ac:dyDescent="0.3">
      <c r="F1" t="s">
        <v>111</v>
      </c>
      <c r="G1" t="s">
        <v>110</v>
      </c>
    </row>
    <row r="2" spans="6:7" x14ac:dyDescent="0.3">
      <c r="F2" t="s">
        <v>116</v>
      </c>
      <c r="G2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P26"/>
  <sheetViews>
    <sheetView zoomScale="90" zoomScaleNormal="90" workbookViewId="0">
      <pane xSplit="4" topLeftCell="E1" activePane="topRight" state="frozen"/>
      <selection pane="topRight" activeCell="F8" sqref="F8"/>
    </sheetView>
  </sheetViews>
  <sheetFormatPr defaultColWidth="9.33203125" defaultRowHeight="13.8" x14ac:dyDescent="0.25"/>
  <cols>
    <col min="1" max="1" width="6.5546875" style="96" customWidth="1"/>
    <col min="2" max="2" width="14.6640625" style="86" bestFit="1" customWidth="1"/>
    <col min="3" max="3" width="16.44140625" style="92" bestFit="1" customWidth="1"/>
    <col min="4" max="4" width="19.88671875" style="92" bestFit="1" customWidth="1"/>
    <col min="5" max="5" width="15.5546875" style="83" customWidth="1"/>
    <col min="6" max="6" width="22.109375" style="83" bestFit="1" customWidth="1"/>
    <col min="7" max="7" width="12.33203125" style="83" bestFit="1" customWidth="1"/>
    <col min="8" max="8" width="15.33203125" style="84" customWidth="1"/>
    <col min="9" max="9" width="10.6640625" style="85" customWidth="1"/>
    <col min="10" max="10" width="24.21875" style="83" customWidth="1"/>
    <col min="11" max="11" width="27.33203125" style="83" customWidth="1"/>
    <col min="12" max="12" width="19.21875" style="83" bestFit="1" customWidth="1"/>
    <col min="13" max="13" width="28.21875" style="84" customWidth="1"/>
    <col min="14" max="14" width="21.88671875" style="84" customWidth="1"/>
    <col min="15" max="15" width="20.5546875" style="83" customWidth="1"/>
    <col min="16" max="16" width="13.44140625" style="83" customWidth="1"/>
    <col min="17" max="17" width="9.33203125" style="83"/>
    <col min="18" max="18" width="11.33203125" style="83" bestFit="1" customWidth="1"/>
    <col min="19" max="16384" width="9.33203125" style="83"/>
  </cols>
  <sheetData>
    <row r="1" spans="1:16" ht="15.6" x14ac:dyDescent="0.3">
      <c r="A1" s="94" t="s">
        <v>109</v>
      </c>
      <c r="H1" s="83"/>
      <c r="J1" s="100">
        <v>12</v>
      </c>
      <c r="M1" s="83"/>
      <c r="N1" s="83"/>
      <c r="O1" s="100">
        <v>15</v>
      </c>
    </row>
    <row r="2" spans="1:16" s="89" customFormat="1" ht="31.2" x14ac:dyDescent="0.25">
      <c r="A2" s="95" t="s">
        <v>108</v>
      </c>
      <c r="B2" s="97" t="s">
        <v>107</v>
      </c>
      <c r="C2" s="98" t="s">
        <v>1</v>
      </c>
      <c r="D2" s="98" t="s">
        <v>2</v>
      </c>
      <c r="E2" s="99" t="s">
        <v>112</v>
      </c>
      <c r="F2" s="99" t="s">
        <v>106</v>
      </c>
      <c r="G2" s="99" t="s">
        <v>113</v>
      </c>
      <c r="H2" s="90" t="s">
        <v>105</v>
      </c>
      <c r="I2" s="90" t="s">
        <v>104</v>
      </c>
      <c r="J2" s="90" t="s">
        <v>103</v>
      </c>
      <c r="K2" s="90" t="s">
        <v>102</v>
      </c>
      <c r="L2" s="99" t="s">
        <v>101</v>
      </c>
      <c r="M2" s="90" t="s">
        <v>17</v>
      </c>
      <c r="N2" s="90" t="s">
        <v>115</v>
      </c>
      <c r="O2" s="91" t="s">
        <v>114</v>
      </c>
      <c r="P2" s="90" t="s">
        <v>117</v>
      </c>
    </row>
    <row r="3" spans="1:16" x14ac:dyDescent="0.25">
      <c r="A3" s="102">
        <f>COUNTIFS(NCA[[#Headers],[Account Head]]:NCA[[#This Row],[Account Head]],NCA[[#This Row],[Account Head]])</f>
        <v>0</v>
      </c>
      <c r="H3" s="104">
        <f>SUM(NCA[[#This Row],[Opening Original Cost]:[Sales of NCA]])</f>
        <v>0</v>
      </c>
      <c r="I3" s="104">
        <f>IFERROR(VLOOKUP(NCA[[#This Row],[Account Head]],NCA_Rate[],2,0),0)</f>
        <v>0</v>
      </c>
      <c r="J3" s="104">
        <f>ROUND(NCA[[#This Row],[Total Cost]]*NCA[[#This Row],[Rate %]]%*IF(NCA[[#This Row],[31 March 2018]]&lt;$J$1,0,NCA[[#This Row],[31 March 2018]]-$J$1)/$J$1,2)</f>
        <v>0</v>
      </c>
      <c r="K3" s="104">
        <f>ROUND(NCA[[#This Row],[Total Cost]]*NCA[[#This Row],[Rate %]]%*IF(NCA[[#This Row],[31 March 2018]]&gt;$J$1,$J$1,NCA[[#This Row],[31 March 2018]])/$J$1,2)</f>
        <v>0</v>
      </c>
      <c r="M3" s="110">
        <f>SUM(J3:K3)</f>
        <v>0</v>
      </c>
      <c r="N3" s="104">
        <f>ROUND(NCA[[#This Row],[Total Cost]]-NCA[[#This Row],[Accumulated Depreciation]],2)</f>
        <v>0</v>
      </c>
      <c r="O3" s="104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3" s="104">
        <f>NCA[[#This Row],[Total Cost]]*NCA[[#This Row],[Rate %]]%</f>
        <v>0</v>
      </c>
    </row>
    <row r="4" spans="1:16" x14ac:dyDescent="0.25">
      <c r="A4" s="102">
        <f>COUNTIFS(NCA[[#Headers],[Account Head]]:NCA[[#This Row],[Account Head]],NCA[[#This Row],[Account Head]])</f>
        <v>0</v>
      </c>
      <c r="H4" s="104">
        <f>SUM(NCA[[#This Row],[Opening Original Cost]:[Sales of NCA]])</f>
        <v>0</v>
      </c>
      <c r="I4" s="104">
        <f>IFERROR(VLOOKUP(NCA[[#This Row],[Account Head]],NCA_Rate[],2,0),0)</f>
        <v>0</v>
      </c>
      <c r="J4" s="104">
        <f>ROUND(NCA[[#This Row],[Total Cost]]*NCA[[#This Row],[Rate %]]%*IF(NCA[[#This Row],[31 March 2018]]&lt;$J$1,0,NCA[[#This Row],[31 March 2018]]-$J$1)/$J$1,2)</f>
        <v>0</v>
      </c>
      <c r="K4" s="104">
        <f>ROUND(NCA[[#This Row],[Total Cost]]*NCA[[#This Row],[Rate %]]%*IF(NCA[[#This Row],[31 March 2018]]&gt;$J$1,$J$1,NCA[[#This Row],[31 March 2018]])/$J$1,2)</f>
        <v>0</v>
      </c>
      <c r="M4" s="104">
        <f>SUM(J4:K4)</f>
        <v>0</v>
      </c>
      <c r="N4" s="104">
        <f>ROUND(NCA[[#This Row],[Total Cost]]-NCA[[#This Row],[Accumulated Depreciation]],2)</f>
        <v>0</v>
      </c>
      <c r="O4" s="104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4" s="104">
        <f>NCA[[#This Row],[Total Cost]]*NCA[[#This Row],[Rate %]]%</f>
        <v>0</v>
      </c>
    </row>
    <row r="5" spans="1:16" x14ac:dyDescent="0.25">
      <c r="A5" s="102">
        <f>COUNTIFS(NCA[[#Headers],[Account Head]]:NCA[[#This Row],[Account Head]],NCA[[#This Row],[Account Head]])</f>
        <v>0</v>
      </c>
      <c r="H5" s="104">
        <f>SUM(NCA[[#This Row],[Opening Original Cost]:[Sales of NCA]])</f>
        <v>0</v>
      </c>
      <c r="I5" s="104">
        <f>IFERROR(VLOOKUP(NCA[[#This Row],[Account Head]],NCA_Rate[],2,0),0)</f>
        <v>0</v>
      </c>
      <c r="J5" s="104">
        <f>ROUND(NCA[[#This Row],[Total Cost]]*NCA[[#This Row],[Rate %]]%*IF(NCA[[#This Row],[31 March 2018]]&lt;$J$1,0,NCA[[#This Row],[31 March 2018]]-$J$1)/$J$1,2)</f>
        <v>0</v>
      </c>
      <c r="K5" s="104">
        <f>ROUND(NCA[[#This Row],[Total Cost]]*NCA[[#This Row],[Rate %]]%*IF(NCA[[#This Row],[31 March 2018]]&gt;$J$1,$J$1,NCA[[#This Row],[31 March 2018]])/$J$1,2)</f>
        <v>0</v>
      </c>
      <c r="M5" s="104">
        <f>SUM(J5:K5)</f>
        <v>0</v>
      </c>
      <c r="N5" s="104">
        <f>ROUND(NCA[[#This Row],[Total Cost]]-NCA[[#This Row],[Accumulated Depreciation]],2)</f>
        <v>0</v>
      </c>
      <c r="O5" s="104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5" s="104">
        <f>NCA[[#This Row],[Total Cost]]*NCA[[#This Row],[Rate %]]%</f>
        <v>0</v>
      </c>
    </row>
    <row r="6" spans="1:16" x14ac:dyDescent="0.25">
      <c r="A6" s="103">
        <f>COUNTIFS(NCA[[#Headers],[Account Head]]:NCA[[#This Row],[Account Head]],NCA[[#This Row],[Account Head]])</f>
        <v>0</v>
      </c>
      <c r="B6" s="88"/>
      <c r="C6" s="93"/>
      <c r="D6" s="93"/>
      <c r="E6" s="87"/>
      <c r="F6" s="87"/>
      <c r="G6" s="87"/>
      <c r="H6" s="105">
        <f>SUM(NCA[[#This Row],[Opening Original Cost]:[Sales of NCA]])</f>
        <v>0</v>
      </c>
      <c r="I6" s="106">
        <f>IFERROR(VLOOKUP(NCA[[#This Row],[Account Head]],NCA_Rate[],2,0),0)</f>
        <v>0</v>
      </c>
      <c r="J6" s="107">
        <f>ROUND(NCA[[#This Row],[Total Cost]]*NCA[[#This Row],[Rate %]]%*IF(NCA[[#This Row],[31 March 2018]]&lt;$J$1,0,NCA[[#This Row],[31 March 2018]]-$J$1)/$J$1,2)</f>
        <v>0</v>
      </c>
      <c r="K6" s="107">
        <f>ROUND(NCA[[#This Row],[Total Cost]]*NCA[[#This Row],[Rate %]]%*IF(NCA[[#This Row],[31 March 2018]]&gt;$J$1,$J$1,NCA[[#This Row],[31 March 2018]])/$J$1,2)</f>
        <v>0</v>
      </c>
      <c r="L6" s="87"/>
      <c r="M6" s="107">
        <f>SUM(J6:K6)</f>
        <v>0</v>
      </c>
      <c r="N6" s="107">
        <f>ROUND(NCA[[#This Row],[Total Cost]]-NCA[[#This Row],[Accumulated Depreciation]],2)</f>
        <v>0</v>
      </c>
      <c r="O6" s="105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6" s="107">
        <f>NCA[[#This Row],[Total Cost]]*NCA[[#This Row],[Rate %]]%</f>
        <v>0</v>
      </c>
    </row>
    <row r="7" spans="1:16" x14ac:dyDescent="0.25">
      <c r="A7" s="103">
        <f>COUNTIFS(NCA[[#Headers],[Account Head]]:NCA[[#This Row],[Account Head]],NCA[[#This Row],[Account Head]])</f>
        <v>0</v>
      </c>
      <c r="B7" s="88"/>
      <c r="C7" s="93"/>
      <c r="D7" s="93"/>
      <c r="E7" s="87"/>
      <c r="F7" s="87"/>
      <c r="G7" s="87"/>
      <c r="H7" s="105">
        <f>SUM(NCA[[#This Row],[Opening Original Cost]:[Sales of NCA]])</f>
        <v>0</v>
      </c>
      <c r="I7" s="106">
        <f>IFERROR(VLOOKUP(NCA[[#This Row],[Account Head]],NCA_Rate[],2,0),0)</f>
        <v>0</v>
      </c>
      <c r="J7" s="107">
        <f>ROUND(NCA[[#This Row],[Total Cost]]*NCA[[#This Row],[Rate %]]%*IF(NCA[[#This Row],[31 March 2018]]&lt;$J$1,0,NCA[[#This Row],[31 March 2018]]-$J$1)/$J$1,2)</f>
        <v>0</v>
      </c>
      <c r="K7" s="107">
        <f>ROUND(NCA[[#This Row],[Total Cost]]*NCA[[#This Row],[Rate %]]%*IF(NCA[[#This Row],[31 March 2018]]&gt;$J$1,$J$1,NCA[[#This Row],[31 March 2018]])/$J$1,2)</f>
        <v>0</v>
      </c>
      <c r="L7" s="87"/>
      <c r="M7" s="107">
        <f>SUM(J7:K7)</f>
        <v>0</v>
      </c>
      <c r="N7" s="107">
        <f>ROUND(NCA[[#This Row],[Total Cost]]-NCA[[#This Row],[Accumulated Depreciation]],2)</f>
        <v>0</v>
      </c>
      <c r="O7" s="105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7" s="107">
        <f>NCA[[#This Row],[Total Cost]]*NCA[[#This Row],[Rate %]]%</f>
        <v>0</v>
      </c>
    </row>
    <row r="8" spans="1:16" x14ac:dyDescent="0.25">
      <c r="A8" s="102">
        <f>COUNTIFS(NCA[[#Headers],[Account Head]]:NCA[[#This Row],[Account Head]],NCA[[#This Row],[Account Head]])</f>
        <v>0</v>
      </c>
      <c r="H8" s="108">
        <f>SUM(NCA[[#This Row],[Opening Original Cost]:[Sales of NCA]])</f>
        <v>0</v>
      </c>
      <c r="I8" s="109">
        <f>IFERROR(VLOOKUP(NCA[[#This Row],[Account Head]],NCA_Rate[],2,0),0)</f>
        <v>0</v>
      </c>
      <c r="J8" s="104">
        <f>ROUND(NCA[[#This Row],[Total Cost]]*NCA[[#This Row],[Rate %]]%*IF(NCA[[#This Row],[31 March 2018]]&lt;$J$1,0,NCA[[#This Row],[31 March 2018]]-$J$1)/$J$1,2)</f>
        <v>0</v>
      </c>
      <c r="K8" s="104">
        <f>ROUND(NCA[[#This Row],[Total Cost]]*NCA[[#This Row],[Rate %]]%*IF(NCA[[#This Row],[31 March 2018]]&gt;$J$1,$J$1,NCA[[#This Row],[31 March 2018]])/$J$1,2)</f>
        <v>0</v>
      </c>
      <c r="M8" s="104">
        <f t="shared" ref="M8:M26" si="0">SUM(J8:K8)</f>
        <v>0</v>
      </c>
      <c r="N8" s="104">
        <f>ROUND(NCA[[#This Row],[Total Cost]]-NCA[[#This Row],[Accumulated Depreciation]],2)</f>
        <v>0</v>
      </c>
      <c r="O8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8" s="104">
        <f>NCA[[#This Row],[Total Cost]]*NCA[[#This Row],[Rate %]]%</f>
        <v>0</v>
      </c>
    </row>
    <row r="9" spans="1:16" x14ac:dyDescent="0.25">
      <c r="A9" s="102">
        <f>COUNTIFS(NCA[[#Headers],[Account Head]]:NCA[[#This Row],[Account Head]],NCA[[#This Row],[Account Head]])</f>
        <v>0</v>
      </c>
      <c r="H9" s="108">
        <f>SUM(NCA[[#This Row],[Opening Original Cost]:[Sales of NCA]])</f>
        <v>0</v>
      </c>
      <c r="I9" s="109">
        <f>IFERROR(VLOOKUP(NCA[[#This Row],[Account Head]],NCA_Rate[],2,0),0)</f>
        <v>0</v>
      </c>
      <c r="J9" s="104">
        <f>ROUND(NCA[[#This Row],[Total Cost]]*NCA[[#This Row],[Rate %]]%*IF(NCA[[#This Row],[31 March 2018]]&lt;$J$1,0,NCA[[#This Row],[31 March 2018]]-$J$1)/$J$1,2)</f>
        <v>0</v>
      </c>
      <c r="K9" s="104">
        <f>ROUND(NCA[[#This Row],[Total Cost]]*NCA[[#This Row],[Rate %]]%*IF(NCA[[#This Row],[31 March 2018]]&gt;$J$1,$J$1,NCA[[#This Row],[31 March 2018]])/$J$1,2)</f>
        <v>0</v>
      </c>
      <c r="M9" s="104">
        <f t="shared" si="0"/>
        <v>0</v>
      </c>
      <c r="N9" s="104">
        <f>ROUND(NCA[[#This Row],[Total Cost]]-NCA[[#This Row],[Accumulated Depreciation]],2)</f>
        <v>0</v>
      </c>
      <c r="O9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9" s="104">
        <f>NCA[[#This Row],[Total Cost]]*NCA[[#This Row],[Rate %]]%</f>
        <v>0</v>
      </c>
    </row>
    <row r="10" spans="1:16" x14ac:dyDescent="0.25">
      <c r="A10" s="102">
        <f>COUNTIFS(NCA[[#Headers],[Account Head]]:NCA[[#This Row],[Account Head]],NCA[[#This Row],[Account Head]])</f>
        <v>0</v>
      </c>
      <c r="H10" s="108">
        <f>SUM(NCA[[#This Row],[Opening Original Cost]:[Sales of NCA]])</f>
        <v>0</v>
      </c>
      <c r="I10" s="109">
        <f>IFERROR(VLOOKUP(NCA[[#This Row],[Account Head]],NCA_Rate[],2,0),0)</f>
        <v>0</v>
      </c>
      <c r="J10" s="104">
        <f>ROUND(NCA[[#This Row],[Total Cost]]*NCA[[#This Row],[Rate %]]%*IF(NCA[[#This Row],[31 March 2018]]&lt;$J$1,0,NCA[[#This Row],[31 March 2018]]-$J$1)/$J$1,2)</f>
        <v>0</v>
      </c>
      <c r="K10" s="104">
        <f>ROUND(NCA[[#This Row],[Total Cost]]*NCA[[#This Row],[Rate %]]%*IF(NCA[[#This Row],[31 March 2018]]&gt;$J$1,$J$1,NCA[[#This Row],[31 March 2018]])/$J$1,2)</f>
        <v>0</v>
      </c>
      <c r="M10" s="104">
        <f t="shared" si="0"/>
        <v>0</v>
      </c>
      <c r="N10" s="104">
        <f>ROUND(NCA[[#This Row],[Total Cost]]-NCA[[#This Row],[Accumulated Depreciation]],2)</f>
        <v>0</v>
      </c>
      <c r="O10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0" s="104">
        <f>NCA[[#This Row],[Total Cost]]*NCA[[#This Row],[Rate %]]%</f>
        <v>0</v>
      </c>
    </row>
    <row r="11" spans="1:16" x14ac:dyDescent="0.25">
      <c r="A11" s="102">
        <f>COUNTIFS(NCA[[#Headers],[Account Head]]:NCA[[#This Row],[Account Head]],NCA[[#This Row],[Account Head]])</f>
        <v>0</v>
      </c>
      <c r="H11" s="108">
        <f>SUM(NCA[[#This Row],[Opening Original Cost]:[Sales of NCA]])</f>
        <v>0</v>
      </c>
      <c r="I11" s="109">
        <f>IFERROR(VLOOKUP(NCA[[#This Row],[Account Head]],NCA_Rate[],2,0),0)</f>
        <v>0</v>
      </c>
      <c r="J11" s="104">
        <f>ROUND(NCA[[#This Row],[Total Cost]]*NCA[[#This Row],[Rate %]]%*IF(NCA[[#This Row],[31 March 2018]]&lt;$J$1,0,NCA[[#This Row],[31 March 2018]]-$J$1)/$J$1,2)</f>
        <v>0</v>
      </c>
      <c r="K11" s="104">
        <f>ROUND(NCA[[#This Row],[Total Cost]]*NCA[[#This Row],[Rate %]]%*IF(NCA[[#This Row],[31 March 2018]]&gt;$J$1,$J$1,NCA[[#This Row],[31 March 2018]])/$J$1,2)</f>
        <v>0</v>
      </c>
      <c r="M11" s="104">
        <f t="shared" si="0"/>
        <v>0</v>
      </c>
      <c r="N11" s="104">
        <f>ROUND(NCA[[#This Row],[Total Cost]]-NCA[[#This Row],[Accumulated Depreciation]],2)</f>
        <v>0</v>
      </c>
      <c r="O11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1" s="104">
        <f>NCA[[#This Row],[Total Cost]]*NCA[[#This Row],[Rate %]]%</f>
        <v>0</v>
      </c>
    </row>
    <row r="12" spans="1:16" x14ac:dyDescent="0.25">
      <c r="A12" s="102">
        <f>COUNTIFS(NCA[[#Headers],[Account Head]]:NCA[[#This Row],[Account Head]],NCA[[#This Row],[Account Head]])</f>
        <v>0</v>
      </c>
      <c r="H12" s="108">
        <f>SUM(NCA[[#This Row],[Opening Original Cost]:[Sales of NCA]])</f>
        <v>0</v>
      </c>
      <c r="I12" s="109">
        <f>IFERROR(VLOOKUP(NCA[[#This Row],[Account Head]],NCA_Rate[],2,0),0)</f>
        <v>0</v>
      </c>
      <c r="J12" s="104">
        <f>ROUND(NCA[[#This Row],[Total Cost]]*NCA[[#This Row],[Rate %]]%*IF(NCA[[#This Row],[31 March 2018]]&lt;$J$1,0,NCA[[#This Row],[31 March 2018]]-$J$1)/$J$1,2)</f>
        <v>0</v>
      </c>
      <c r="K12" s="104">
        <f>ROUND(NCA[[#This Row],[Total Cost]]*NCA[[#This Row],[Rate %]]%*IF(NCA[[#This Row],[31 March 2018]]&gt;$J$1,$J$1,NCA[[#This Row],[31 March 2018]])/$J$1,2)</f>
        <v>0</v>
      </c>
      <c r="M12" s="104">
        <f t="shared" si="0"/>
        <v>0</v>
      </c>
      <c r="N12" s="104">
        <f>ROUND(NCA[[#This Row],[Total Cost]]-NCA[[#This Row],[Accumulated Depreciation]],2)</f>
        <v>0</v>
      </c>
      <c r="O12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2" s="104">
        <f>NCA[[#This Row],[Total Cost]]*NCA[[#This Row],[Rate %]]%</f>
        <v>0</v>
      </c>
    </row>
    <row r="13" spans="1:16" x14ac:dyDescent="0.25">
      <c r="A13" s="102">
        <f>COUNTIFS(NCA[[#Headers],[Account Head]]:NCA[[#This Row],[Account Head]],NCA[[#This Row],[Account Head]])</f>
        <v>0</v>
      </c>
      <c r="H13" s="108">
        <f>SUM(NCA[[#This Row],[Opening Original Cost]:[Sales of NCA]])</f>
        <v>0</v>
      </c>
      <c r="I13" s="109">
        <f>IFERROR(VLOOKUP(NCA[[#This Row],[Account Head]],NCA_Rate[],2,0),0)</f>
        <v>0</v>
      </c>
      <c r="J13" s="104">
        <f>ROUND(NCA[[#This Row],[Total Cost]]*NCA[[#This Row],[Rate %]]%*IF(NCA[[#This Row],[31 March 2018]]&lt;$J$1,0,NCA[[#This Row],[31 March 2018]]-$J$1)/$J$1,2)</f>
        <v>0</v>
      </c>
      <c r="K13" s="104">
        <f>ROUND(NCA[[#This Row],[Total Cost]]*NCA[[#This Row],[Rate %]]%*IF(NCA[[#This Row],[31 March 2018]]&gt;$J$1,$J$1,NCA[[#This Row],[31 March 2018]])/$J$1,2)</f>
        <v>0</v>
      </c>
      <c r="M13" s="104">
        <f t="shared" si="0"/>
        <v>0</v>
      </c>
      <c r="N13" s="104">
        <f>ROUND(NCA[[#This Row],[Total Cost]]-NCA[[#This Row],[Accumulated Depreciation]],2)</f>
        <v>0</v>
      </c>
      <c r="O13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3" s="104">
        <f>NCA[[#This Row],[Total Cost]]*NCA[[#This Row],[Rate %]]%</f>
        <v>0</v>
      </c>
    </row>
    <row r="14" spans="1:16" x14ac:dyDescent="0.25">
      <c r="A14" s="102">
        <f>COUNTIFS(NCA[[#Headers],[Account Head]]:NCA[[#This Row],[Account Head]],NCA[[#This Row],[Account Head]])</f>
        <v>0</v>
      </c>
      <c r="H14" s="108">
        <f>SUM(NCA[[#This Row],[Opening Original Cost]:[Sales of NCA]])</f>
        <v>0</v>
      </c>
      <c r="I14" s="109">
        <f>IFERROR(VLOOKUP(NCA[[#This Row],[Account Head]],NCA_Rate[],2,0),0)</f>
        <v>0</v>
      </c>
      <c r="J14" s="104">
        <f>ROUND(NCA[[#This Row],[Total Cost]]*NCA[[#This Row],[Rate %]]%*IF(NCA[[#This Row],[31 March 2018]]&lt;$J$1,0,NCA[[#This Row],[31 March 2018]]-$J$1)/$J$1,2)</f>
        <v>0</v>
      </c>
      <c r="K14" s="104">
        <f>ROUND(NCA[[#This Row],[Total Cost]]*NCA[[#This Row],[Rate %]]%*IF(NCA[[#This Row],[31 March 2018]]&gt;$J$1,$J$1,NCA[[#This Row],[31 March 2018]])/$J$1,2)</f>
        <v>0</v>
      </c>
      <c r="M14" s="104">
        <f t="shared" si="0"/>
        <v>0</v>
      </c>
      <c r="N14" s="104">
        <f>ROUND(NCA[[#This Row],[Total Cost]]-NCA[[#This Row],[Accumulated Depreciation]],2)</f>
        <v>0</v>
      </c>
      <c r="O14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4" s="104">
        <f>NCA[[#This Row],[Total Cost]]*NCA[[#This Row],[Rate %]]%</f>
        <v>0</v>
      </c>
    </row>
    <row r="15" spans="1:16" x14ac:dyDescent="0.25">
      <c r="A15" s="102">
        <f>COUNTIFS(NCA[[#Headers],[Account Head]]:NCA[[#This Row],[Account Head]],NCA[[#This Row],[Account Head]])</f>
        <v>0</v>
      </c>
      <c r="H15" s="108">
        <f>SUM(NCA[[#This Row],[Opening Original Cost]:[Sales of NCA]])</f>
        <v>0</v>
      </c>
      <c r="I15" s="109">
        <f>IFERROR(VLOOKUP(NCA[[#This Row],[Account Head]],NCA_Rate[],2,0),0)</f>
        <v>0</v>
      </c>
      <c r="J15" s="104">
        <f>ROUND(NCA[[#This Row],[Total Cost]]*NCA[[#This Row],[Rate %]]%*IF(NCA[[#This Row],[31 March 2018]]&lt;$J$1,0,NCA[[#This Row],[31 March 2018]]-$J$1)/$J$1,2)</f>
        <v>0</v>
      </c>
      <c r="K15" s="104">
        <f>ROUND(NCA[[#This Row],[Total Cost]]*NCA[[#This Row],[Rate %]]%*IF(NCA[[#This Row],[31 March 2018]]&gt;$J$1,$J$1,NCA[[#This Row],[31 March 2018]])/$J$1,2)</f>
        <v>0</v>
      </c>
      <c r="M15" s="104">
        <f t="shared" si="0"/>
        <v>0</v>
      </c>
      <c r="N15" s="104">
        <f>ROUND(NCA[[#This Row],[Total Cost]]-NCA[[#This Row],[Accumulated Depreciation]],2)</f>
        <v>0</v>
      </c>
      <c r="O15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5" s="104">
        <f>NCA[[#This Row],[Total Cost]]*NCA[[#This Row],[Rate %]]%</f>
        <v>0</v>
      </c>
    </row>
    <row r="16" spans="1:16" x14ac:dyDescent="0.25">
      <c r="A16" s="102">
        <f>COUNTIFS(NCA[[#Headers],[Account Head]]:NCA[[#This Row],[Account Head]],NCA[[#This Row],[Account Head]])</f>
        <v>0</v>
      </c>
      <c r="H16" s="108">
        <f>SUM(NCA[[#This Row],[Opening Original Cost]:[Sales of NCA]])</f>
        <v>0</v>
      </c>
      <c r="I16" s="109">
        <f>IFERROR(VLOOKUP(NCA[[#This Row],[Account Head]],NCA_Rate[],2,0),0)</f>
        <v>0</v>
      </c>
      <c r="J16" s="104">
        <f>ROUND(NCA[[#This Row],[Total Cost]]*NCA[[#This Row],[Rate %]]%*IF(NCA[[#This Row],[31 March 2018]]&lt;$J$1,0,NCA[[#This Row],[31 March 2018]]-$J$1)/$J$1,2)</f>
        <v>0</v>
      </c>
      <c r="K16" s="104">
        <f>ROUND(NCA[[#This Row],[Total Cost]]*NCA[[#This Row],[Rate %]]%*IF(NCA[[#This Row],[31 March 2018]]&gt;$J$1,$J$1,NCA[[#This Row],[31 March 2018]])/$J$1,2)</f>
        <v>0</v>
      </c>
      <c r="M16" s="104">
        <f t="shared" si="0"/>
        <v>0</v>
      </c>
      <c r="N16" s="104">
        <f>ROUND(NCA[[#This Row],[Total Cost]]-NCA[[#This Row],[Accumulated Depreciation]],2)</f>
        <v>0</v>
      </c>
      <c r="O16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6" s="104">
        <f>NCA[[#This Row],[Total Cost]]*NCA[[#This Row],[Rate %]]%</f>
        <v>0</v>
      </c>
    </row>
    <row r="17" spans="1:16" x14ac:dyDescent="0.25">
      <c r="A17" s="102">
        <f>COUNTIFS(NCA[[#Headers],[Account Head]]:NCA[[#This Row],[Account Head]],NCA[[#This Row],[Account Head]])</f>
        <v>0</v>
      </c>
      <c r="H17" s="108">
        <f>SUM(NCA[[#This Row],[Opening Original Cost]:[Sales of NCA]])</f>
        <v>0</v>
      </c>
      <c r="I17" s="109">
        <f>IFERROR(VLOOKUP(NCA[[#This Row],[Account Head]],NCA_Rate[],2,0),0)</f>
        <v>0</v>
      </c>
      <c r="J17" s="104">
        <f>ROUND(NCA[[#This Row],[Total Cost]]*NCA[[#This Row],[Rate %]]%*IF(NCA[[#This Row],[31 March 2018]]&lt;$J$1,0,NCA[[#This Row],[31 March 2018]]-$J$1)/$J$1,2)</f>
        <v>0</v>
      </c>
      <c r="K17" s="104">
        <f>ROUND(NCA[[#This Row],[Total Cost]]*NCA[[#This Row],[Rate %]]%*IF(NCA[[#This Row],[31 March 2018]]&gt;$J$1,$J$1,NCA[[#This Row],[31 March 2018]])/$J$1,2)</f>
        <v>0</v>
      </c>
      <c r="M17" s="104">
        <f t="shared" si="0"/>
        <v>0</v>
      </c>
      <c r="N17" s="104">
        <f>ROUND(NCA[[#This Row],[Total Cost]]-NCA[[#This Row],[Accumulated Depreciation]],2)</f>
        <v>0</v>
      </c>
      <c r="O17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7" s="104">
        <f>NCA[[#This Row],[Total Cost]]*NCA[[#This Row],[Rate %]]%</f>
        <v>0</v>
      </c>
    </row>
    <row r="18" spans="1:16" x14ac:dyDescent="0.25">
      <c r="A18" s="102">
        <f>COUNTIFS(NCA[[#Headers],[Account Head]]:NCA[[#This Row],[Account Head]],NCA[[#This Row],[Account Head]])</f>
        <v>0</v>
      </c>
      <c r="H18" s="108">
        <f>SUM(NCA[[#This Row],[Opening Original Cost]:[Sales of NCA]])</f>
        <v>0</v>
      </c>
      <c r="I18" s="109">
        <f>IFERROR(VLOOKUP(NCA[[#This Row],[Account Head]],NCA_Rate[],2,0),0)</f>
        <v>0</v>
      </c>
      <c r="J18" s="104">
        <f>ROUND(NCA[[#This Row],[Total Cost]]*NCA[[#This Row],[Rate %]]%*IF(NCA[[#This Row],[31 March 2018]]&lt;$J$1,0,NCA[[#This Row],[31 March 2018]]-$J$1)/$J$1,2)</f>
        <v>0</v>
      </c>
      <c r="K18" s="104">
        <f>ROUND(NCA[[#This Row],[Total Cost]]*NCA[[#This Row],[Rate %]]%*IF(NCA[[#This Row],[31 March 2018]]&gt;$J$1,$J$1,NCA[[#This Row],[31 March 2018]])/$J$1,2)</f>
        <v>0</v>
      </c>
      <c r="M18" s="104">
        <f t="shared" si="0"/>
        <v>0</v>
      </c>
      <c r="N18" s="104">
        <f>ROUND(NCA[[#This Row],[Total Cost]]-NCA[[#This Row],[Accumulated Depreciation]],2)</f>
        <v>0</v>
      </c>
      <c r="O18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8" s="104">
        <f>NCA[[#This Row],[Total Cost]]*NCA[[#This Row],[Rate %]]%</f>
        <v>0</v>
      </c>
    </row>
    <row r="19" spans="1:16" x14ac:dyDescent="0.25">
      <c r="A19" s="102">
        <f>COUNTIFS(NCA[[#Headers],[Account Head]]:NCA[[#This Row],[Account Head]],NCA[[#This Row],[Account Head]])</f>
        <v>0</v>
      </c>
      <c r="H19" s="108">
        <f>SUM(NCA[[#This Row],[Opening Original Cost]:[Sales of NCA]])</f>
        <v>0</v>
      </c>
      <c r="I19" s="109">
        <f>IFERROR(VLOOKUP(NCA[[#This Row],[Account Head]],NCA_Rate[],2,0),0)</f>
        <v>0</v>
      </c>
      <c r="J19" s="104">
        <f>ROUND(NCA[[#This Row],[Total Cost]]*NCA[[#This Row],[Rate %]]%*IF(NCA[[#This Row],[31 March 2018]]&lt;$J$1,0,NCA[[#This Row],[31 March 2018]]-$J$1)/$J$1,2)</f>
        <v>0</v>
      </c>
      <c r="K19" s="104">
        <f>ROUND(NCA[[#This Row],[Total Cost]]*NCA[[#This Row],[Rate %]]%*IF(NCA[[#This Row],[31 March 2018]]&gt;$J$1,$J$1,NCA[[#This Row],[31 March 2018]])/$J$1,2)</f>
        <v>0</v>
      </c>
      <c r="M19" s="104">
        <f t="shared" si="0"/>
        <v>0</v>
      </c>
      <c r="N19" s="104">
        <f>ROUND(NCA[[#This Row],[Total Cost]]-NCA[[#This Row],[Accumulated Depreciation]],2)</f>
        <v>0</v>
      </c>
      <c r="O19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19" s="104">
        <f>NCA[[#This Row],[Total Cost]]*NCA[[#This Row],[Rate %]]%</f>
        <v>0</v>
      </c>
    </row>
    <row r="20" spans="1:16" x14ac:dyDescent="0.25">
      <c r="A20" s="102">
        <f>COUNTIFS(NCA[[#Headers],[Account Head]]:NCA[[#This Row],[Account Head]],NCA[[#This Row],[Account Head]])</f>
        <v>0</v>
      </c>
      <c r="H20" s="108">
        <f>SUM(NCA[[#This Row],[Opening Original Cost]:[Sales of NCA]])</f>
        <v>0</v>
      </c>
      <c r="I20" s="109">
        <f>IFERROR(VLOOKUP(NCA[[#This Row],[Account Head]],NCA_Rate[],2,0),0)</f>
        <v>0</v>
      </c>
      <c r="J20" s="104">
        <f>ROUND(NCA[[#This Row],[Total Cost]]*NCA[[#This Row],[Rate %]]%*IF(NCA[[#This Row],[31 March 2018]]&lt;$J$1,0,NCA[[#This Row],[31 March 2018]]-$J$1)/$J$1,2)</f>
        <v>0</v>
      </c>
      <c r="K20" s="104">
        <f>ROUND(NCA[[#This Row],[Total Cost]]*NCA[[#This Row],[Rate %]]%*IF(NCA[[#This Row],[31 March 2018]]&gt;$J$1,$J$1,NCA[[#This Row],[31 March 2018]])/$J$1,2)</f>
        <v>0</v>
      </c>
      <c r="M20" s="104">
        <f t="shared" si="0"/>
        <v>0</v>
      </c>
      <c r="N20" s="104">
        <f>ROUND(NCA[[#This Row],[Total Cost]]-NCA[[#This Row],[Accumulated Depreciation]],2)</f>
        <v>0</v>
      </c>
      <c r="O20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0" s="104">
        <f>NCA[[#This Row],[Total Cost]]*NCA[[#This Row],[Rate %]]%</f>
        <v>0</v>
      </c>
    </row>
    <row r="21" spans="1:16" x14ac:dyDescent="0.25">
      <c r="A21" s="102">
        <f>COUNTIFS(NCA[[#Headers],[Account Head]]:NCA[[#This Row],[Account Head]],NCA[[#This Row],[Account Head]])</f>
        <v>0</v>
      </c>
      <c r="H21" s="108">
        <f>SUM(NCA[[#This Row],[Opening Original Cost]:[Sales of NCA]])</f>
        <v>0</v>
      </c>
      <c r="I21" s="109">
        <f>IFERROR(VLOOKUP(NCA[[#This Row],[Account Head]],NCA_Rate[],2,0),0)</f>
        <v>0</v>
      </c>
      <c r="J21" s="104">
        <f>ROUND(NCA[[#This Row],[Total Cost]]*NCA[[#This Row],[Rate %]]%*IF(NCA[[#This Row],[31 March 2018]]&lt;$J$1,0,NCA[[#This Row],[31 March 2018]]-$J$1)/$J$1,2)</f>
        <v>0</v>
      </c>
      <c r="K21" s="104">
        <f>ROUND(NCA[[#This Row],[Total Cost]]*NCA[[#This Row],[Rate %]]%*IF(NCA[[#This Row],[31 March 2018]]&gt;$J$1,$J$1,NCA[[#This Row],[31 March 2018]])/$J$1,2)</f>
        <v>0</v>
      </c>
      <c r="M21" s="104">
        <f t="shared" si="0"/>
        <v>0</v>
      </c>
      <c r="N21" s="104">
        <f>ROUND(NCA[[#This Row],[Total Cost]]-NCA[[#This Row],[Accumulated Depreciation]],2)</f>
        <v>0</v>
      </c>
      <c r="O21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1" s="104">
        <f>NCA[[#This Row],[Total Cost]]*NCA[[#This Row],[Rate %]]%</f>
        <v>0</v>
      </c>
    </row>
    <row r="22" spans="1:16" x14ac:dyDescent="0.25">
      <c r="A22" s="102">
        <f>COUNTIFS(NCA[[#Headers],[Account Head]]:NCA[[#This Row],[Account Head]],NCA[[#This Row],[Account Head]])</f>
        <v>0</v>
      </c>
      <c r="H22" s="108">
        <f>SUM(NCA[[#This Row],[Opening Original Cost]:[Sales of NCA]])</f>
        <v>0</v>
      </c>
      <c r="I22" s="109">
        <f>IFERROR(VLOOKUP(NCA[[#This Row],[Account Head]],NCA_Rate[],2,0),0)</f>
        <v>0</v>
      </c>
      <c r="J22" s="104">
        <f>ROUND(NCA[[#This Row],[Total Cost]]*NCA[[#This Row],[Rate %]]%*IF(NCA[[#This Row],[31 March 2018]]&lt;$J$1,0,NCA[[#This Row],[31 March 2018]]-$J$1)/$J$1,2)</f>
        <v>0</v>
      </c>
      <c r="K22" s="104">
        <f>ROUND(NCA[[#This Row],[Total Cost]]*NCA[[#This Row],[Rate %]]%*IF(NCA[[#This Row],[31 March 2018]]&gt;$J$1,$J$1,NCA[[#This Row],[31 March 2018]])/$J$1,2)</f>
        <v>0</v>
      </c>
      <c r="M22" s="104">
        <f t="shared" si="0"/>
        <v>0</v>
      </c>
      <c r="N22" s="104">
        <f>ROUND(NCA[[#This Row],[Total Cost]]-NCA[[#This Row],[Accumulated Depreciation]],2)</f>
        <v>0</v>
      </c>
      <c r="O22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2" s="104">
        <f>NCA[[#This Row],[Total Cost]]*NCA[[#This Row],[Rate %]]%</f>
        <v>0</v>
      </c>
    </row>
    <row r="23" spans="1:16" x14ac:dyDescent="0.25">
      <c r="A23" s="102">
        <f>COUNTIFS(NCA[[#Headers],[Account Head]]:NCA[[#This Row],[Account Head]],NCA[[#This Row],[Account Head]])</f>
        <v>0</v>
      </c>
      <c r="H23" s="108">
        <f>SUM(NCA[[#This Row],[Opening Original Cost]:[Sales of NCA]])</f>
        <v>0</v>
      </c>
      <c r="I23" s="109">
        <f>IFERROR(VLOOKUP(NCA[[#This Row],[Account Head]],NCA_Rate[],2,0),0)</f>
        <v>0</v>
      </c>
      <c r="J23" s="104">
        <f>ROUND(NCA[[#This Row],[Total Cost]]*NCA[[#This Row],[Rate %]]%*IF(NCA[[#This Row],[31 March 2018]]&lt;$J$1,0,NCA[[#This Row],[31 March 2018]]-$J$1)/$J$1,2)</f>
        <v>0</v>
      </c>
      <c r="K23" s="104">
        <f>ROUND(NCA[[#This Row],[Total Cost]]*NCA[[#This Row],[Rate %]]%*IF(NCA[[#This Row],[31 March 2018]]&gt;$J$1,$J$1,NCA[[#This Row],[31 March 2018]])/$J$1,2)</f>
        <v>0</v>
      </c>
      <c r="M23" s="104">
        <f t="shared" si="0"/>
        <v>0</v>
      </c>
      <c r="N23" s="104">
        <f>ROUND(NCA[[#This Row],[Total Cost]]-NCA[[#This Row],[Accumulated Depreciation]],2)</f>
        <v>0</v>
      </c>
      <c r="O23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3" s="104">
        <f>NCA[[#This Row],[Total Cost]]*NCA[[#This Row],[Rate %]]%</f>
        <v>0</v>
      </c>
    </row>
    <row r="24" spans="1:16" x14ac:dyDescent="0.25">
      <c r="A24" s="102">
        <f>COUNTIFS(NCA[[#Headers],[Account Head]]:NCA[[#This Row],[Account Head]],NCA[[#This Row],[Account Head]])</f>
        <v>0</v>
      </c>
      <c r="H24" s="108">
        <f>SUM(NCA[[#This Row],[Opening Original Cost]:[Sales of NCA]])</f>
        <v>0</v>
      </c>
      <c r="I24" s="109">
        <f>IFERROR(VLOOKUP(NCA[[#This Row],[Account Head]],NCA_Rate[],2,0),0)</f>
        <v>0</v>
      </c>
      <c r="J24" s="104">
        <f>ROUND(NCA[[#This Row],[Total Cost]]*NCA[[#This Row],[Rate %]]%*IF(NCA[[#This Row],[31 March 2018]]&lt;$J$1,0,NCA[[#This Row],[31 March 2018]]-$J$1)/$J$1,2)</f>
        <v>0</v>
      </c>
      <c r="K24" s="104">
        <f>ROUND(NCA[[#This Row],[Total Cost]]*NCA[[#This Row],[Rate %]]%*IF(NCA[[#This Row],[31 March 2018]]&gt;$J$1,$J$1,NCA[[#This Row],[31 March 2018]])/$J$1,2)</f>
        <v>0</v>
      </c>
      <c r="M24" s="104">
        <f t="shared" si="0"/>
        <v>0</v>
      </c>
      <c r="N24" s="104">
        <f>ROUND(NCA[[#This Row],[Total Cost]]-NCA[[#This Row],[Accumulated Depreciation]],2)</f>
        <v>0</v>
      </c>
      <c r="O24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4" s="104">
        <f>NCA[[#This Row],[Total Cost]]*NCA[[#This Row],[Rate %]]%</f>
        <v>0</v>
      </c>
    </row>
    <row r="25" spans="1:16" x14ac:dyDescent="0.25">
      <c r="A25" s="102">
        <f>COUNTIFS(NCA[[#Headers],[Account Head]]:NCA[[#This Row],[Account Head]],NCA[[#This Row],[Account Head]])</f>
        <v>0</v>
      </c>
      <c r="H25" s="108">
        <f>SUM(NCA[[#This Row],[Opening Original Cost]:[Sales of NCA]])</f>
        <v>0</v>
      </c>
      <c r="I25" s="109">
        <f>IFERROR(VLOOKUP(NCA[[#This Row],[Account Head]],NCA_Rate[],2,0),0)</f>
        <v>0</v>
      </c>
      <c r="J25" s="104">
        <f>ROUND(NCA[[#This Row],[Total Cost]]*NCA[[#This Row],[Rate %]]%*IF(NCA[[#This Row],[31 March 2018]]&lt;$J$1,0,NCA[[#This Row],[31 March 2018]]-$J$1)/$J$1,2)</f>
        <v>0</v>
      </c>
      <c r="K25" s="104">
        <f>ROUND(NCA[[#This Row],[Total Cost]]*NCA[[#This Row],[Rate %]]%*IF(NCA[[#This Row],[31 March 2018]]&gt;$J$1,$J$1,NCA[[#This Row],[31 March 2018]])/$J$1,2)</f>
        <v>0</v>
      </c>
      <c r="M25" s="104">
        <f t="shared" si="0"/>
        <v>0</v>
      </c>
      <c r="N25" s="104">
        <f>ROUND(NCA[[#This Row],[Total Cost]]-NCA[[#This Row],[Accumulated Depreciation]],2)</f>
        <v>0</v>
      </c>
      <c r="O25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5" s="104">
        <f>NCA[[#This Row],[Total Cost]]*NCA[[#This Row],[Rate %]]%</f>
        <v>0</v>
      </c>
    </row>
    <row r="26" spans="1:16" x14ac:dyDescent="0.25">
      <c r="A26" s="102">
        <f>COUNTIFS(NCA[[#Headers],[Account Head]]:NCA[[#This Row],[Account Head]],NCA[[#This Row],[Account Head]])</f>
        <v>0</v>
      </c>
      <c r="H26" s="108">
        <f>SUM(NCA[[#This Row],[Opening Original Cost]:[Sales of NCA]])</f>
        <v>0</v>
      </c>
      <c r="I26" s="109">
        <f>IFERROR(VLOOKUP(NCA[[#This Row],[Account Head]],NCA_Rate[],2,0),0)</f>
        <v>0</v>
      </c>
      <c r="J26" s="104">
        <f>ROUND(NCA[[#This Row],[Total Cost]]*NCA[[#This Row],[Rate %]]%*IF(NCA[[#This Row],[31 March 2018]]&lt;$J$1,0,NCA[[#This Row],[31 March 2018]]-$J$1)/$J$1,2)</f>
        <v>0</v>
      </c>
      <c r="K26" s="104">
        <f>ROUND(NCA[[#This Row],[Total Cost]]*NCA[[#This Row],[Rate %]]%*IF(NCA[[#This Row],[31 March 2018]]&gt;$J$1,$J$1,NCA[[#This Row],[31 March 2018]])/$J$1,2)</f>
        <v>0</v>
      </c>
      <c r="M26" s="104">
        <f t="shared" si="0"/>
        <v>0</v>
      </c>
      <c r="N26" s="104">
        <f>ROUND(NCA[[#This Row],[Total Cost]]-NCA[[#This Row],[Accumulated Depreciation]],2)</f>
        <v>0</v>
      </c>
      <c r="O26" s="108">
        <f>(IF($O$1&gt;=DAY(NCA[[#This Row],[Purchase 
Date]]),1,0)+(YEAR(DATEVALUE(NCA[[#Headers],[31 March 2018]]))-YEAR(NCA[[#This Row],[Purchase 
Date]])) *12+MONTH(DATEVALUE(NCA[[#Headers],[31 March 2018]]))-MONTH(NCA[[#This Row],[Purchase 
Date]]))*IF(ISBLANK(NCA[[#This Row],[Purchase 
Date]]),0,1)</f>
        <v>0</v>
      </c>
      <c r="P26" s="104">
        <f>NCA[[#This Row],[Total Cost]]*NCA[[#This Row],[Rate %]]%</f>
        <v>0</v>
      </c>
    </row>
  </sheetData>
  <pageMargins left="0.68" right="0.27" top="0.27559055118110198" bottom="0.98425196850393704" header="0.9" footer="0.31496062992126"/>
  <pageSetup paperSize="9" scale="80" orientation="landscape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Z59"/>
  <sheetViews>
    <sheetView tabSelected="1" zoomScaleNormal="100" workbookViewId="0">
      <selection activeCell="C7" sqref="C7"/>
    </sheetView>
  </sheetViews>
  <sheetFormatPr defaultColWidth="8.88671875" defaultRowHeight="14.4" outlineLevelCol="1" x14ac:dyDescent="0.3"/>
  <cols>
    <col min="1" max="1" width="10.6640625" style="47" customWidth="1"/>
    <col min="2" max="2" width="13.88671875" style="48" customWidth="1"/>
    <col min="3" max="3" width="33.33203125" style="48" customWidth="1"/>
    <col min="4" max="4" width="33.5546875" style="48" customWidth="1"/>
    <col min="5" max="6" width="17.6640625" style="49" customWidth="1" outlineLevel="1"/>
    <col min="7" max="7" width="17.6640625" style="50" customWidth="1"/>
    <col min="8" max="8" width="10.5546875" style="63" customWidth="1" outlineLevel="1"/>
    <col min="9" max="9" width="15.109375" style="49" customWidth="1" outlineLevel="1"/>
    <col min="10" max="10" width="17.6640625" style="49" customWidth="1" outlineLevel="1"/>
    <col min="11" max="11" width="17.6640625" style="51" customWidth="1"/>
    <col min="12" max="12" width="17.6640625" style="49" customWidth="1" outlineLevel="1"/>
    <col min="13" max="13" width="20.6640625" style="49" customWidth="1" outlineLevel="1"/>
    <col min="14" max="15" width="15.109375" style="52" customWidth="1"/>
    <col min="16" max="16" width="17.109375" style="52" customWidth="1"/>
    <col min="17" max="17" width="18.109375" style="52" customWidth="1"/>
    <col min="18" max="23" width="9.6640625" style="52" customWidth="1"/>
    <col min="24" max="24" width="12.33203125" style="49" customWidth="1"/>
    <col min="25" max="25" width="8.88671875" style="49"/>
    <col min="26" max="26" width="13.5546875" style="49" customWidth="1"/>
    <col min="27" max="16384" width="8.88671875" style="49"/>
  </cols>
  <sheetData>
    <row r="1" spans="1:26" s="46" customFormat="1" ht="27.6" x14ac:dyDescent="0.25">
      <c r="A1" s="37" t="s">
        <v>0</v>
      </c>
      <c r="B1" s="38" t="s">
        <v>9</v>
      </c>
      <c r="C1" s="38" t="s">
        <v>1</v>
      </c>
      <c r="D1" s="38" t="s">
        <v>2</v>
      </c>
      <c r="E1" s="39" t="s">
        <v>10</v>
      </c>
      <c r="F1" s="39" t="s">
        <v>11</v>
      </c>
      <c r="G1" s="40" t="s">
        <v>5</v>
      </c>
      <c r="H1" s="41" t="s">
        <v>58</v>
      </c>
      <c r="I1" s="42" t="s">
        <v>6</v>
      </c>
      <c r="J1" s="42" t="s">
        <v>7</v>
      </c>
      <c r="K1" s="43" t="s">
        <v>8</v>
      </c>
      <c r="L1" s="44" t="s">
        <v>26</v>
      </c>
      <c r="M1" s="44" t="s">
        <v>27</v>
      </c>
      <c r="N1" s="45" t="s">
        <v>3</v>
      </c>
      <c r="O1" s="45" t="s">
        <v>4</v>
      </c>
      <c r="P1" s="45" t="s">
        <v>89</v>
      </c>
      <c r="Q1" s="45" t="s">
        <v>88</v>
      </c>
      <c r="R1" s="45" t="s">
        <v>14</v>
      </c>
      <c r="S1" s="45" t="s">
        <v>72</v>
      </c>
      <c r="T1" s="45" t="s">
        <v>73</v>
      </c>
      <c r="U1" s="45" t="s">
        <v>74</v>
      </c>
      <c r="V1" s="45" t="s">
        <v>75</v>
      </c>
      <c r="W1" s="45" t="s">
        <v>86</v>
      </c>
      <c r="X1" s="45" t="s">
        <v>76</v>
      </c>
      <c r="Y1" s="45" t="s">
        <v>85</v>
      </c>
      <c r="Z1" s="46" t="s">
        <v>87</v>
      </c>
    </row>
    <row r="2" spans="1:26" ht="13.8" x14ac:dyDescent="0.25">
      <c r="D2" s="56"/>
      <c r="G2" s="50">
        <f>ROUND(SUM(INDEX(Transation[Receipt (Debit)],1):Transation[[#This Row],[Receipt (Debit)]])-SUM(INDEX(Transation[Payment (Credit)],1):Transation[[#This Row],[Payment (Credit)]]),4)</f>
        <v>0</v>
      </c>
      <c r="H2" s="48"/>
      <c r="K2" s="51">
        <f>ROUND(SUBTOTAL(9,INDEX(Transation[Deposit],1):Transation[[#This Row],[Deposit]])-SUBTOTAL(9,INDEX(Transation[Withdraw],1):Transation[[#This Row],[Withdraw]]),4)</f>
        <v>0</v>
      </c>
      <c r="L2" s="57"/>
      <c r="N2" s="52">
        <f>ROUND(IF(Transation[[#This Row],[Is Contra]],0,Transation[[#This Row],[Payment (Credit)]]+Transation[[#This Row],[Withdraw]]+Transation[[#This Row],[Jr-Dr]]),4)</f>
        <v>0</v>
      </c>
      <c r="O2" s="52">
        <f>ROUND(IF(Transation[[#This Row],[Is Contra]],0,Transation[[#This Row],[Receipt (Debit)]]+Transation[[#This Row],[Deposit]]+Transation[[#This Row],[Jr-Cr]]),4)</f>
        <v>0</v>
      </c>
      <c r="P2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" s="52" t="str">
        <f>IF(ISBLANK(Transation[[#This Row],[Account Head]]),"",_xlfn.IFNA(INDEX(Tri[IsCredit],MATCH(Transation[[#This Row],[Account Head]],Tri[Account],0)),""))</f>
        <v/>
      </c>
      <c r="R2" s="52" t="b">
        <f>OR(Transation[[#This Row],[Is Contra C&amp;B]:[Is Contra C&amp;J]])</f>
        <v>0</v>
      </c>
      <c r="S2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" s="52" t="b">
        <f>OR(NOT(ISBLANK(Transation[[#This Row],[Receipt (Debit)]])),NOT(ISBLANK(Transation[[#This Row],[Payment (Credit)]])))</f>
        <v>0</v>
      </c>
      <c r="W2" s="52" t="b">
        <f>OR(NOT(ISBLANK(Transation[[#This Row],[Deposit]])),NOT(ISBLANK(Transation[[#This Row],[Withdraw]])))</f>
        <v>0</v>
      </c>
      <c r="X2" s="52" t="b">
        <f>OR(NOT(ISBLANK(Transation[[#This Row],[Jr-Dr]])),NOT(ISBLANK(Transation[[#This Row],[Jr-Cr]])))</f>
        <v>0</v>
      </c>
      <c r="Y2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" s="53">
        <f>IF(ISBLANK(Transation[[#This Row],[Date]]),0,Transation[[#This Row],[Date]]-INDEX(Transation[Date],MATCH("Opening",Transation[Reference],0)))</f>
        <v>0</v>
      </c>
    </row>
    <row r="3" spans="1:26" ht="13.8" x14ac:dyDescent="0.25">
      <c r="D3" s="56"/>
      <c r="G3" s="50">
        <f>ROUND(SUM(INDEX(Transation[Receipt (Debit)],1):Transation[[#This Row],[Receipt (Debit)]])-SUM(INDEX(Transation[Payment (Credit)],1):Transation[[#This Row],[Payment (Credit)]]),4)</f>
        <v>0</v>
      </c>
      <c r="H3" s="48"/>
      <c r="K3" s="51">
        <f>ROUND(SUBTOTAL(9,INDEX(Transation[Deposit],1):Transation[[#This Row],[Deposit]])-SUBTOTAL(9,INDEX(Transation[Withdraw],1):Transation[[#This Row],[Withdraw]]),4)</f>
        <v>0</v>
      </c>
      <c r="L3" s="57"/>
      <c r="N3" s="52">
        <f>ROUND(IF(Transation[[#This Row],[Is Contra]],0,Transation[[#This Row],[Payment (Credit)]]+Transation[[#This Row],[Withdraw]]+Transation[[#This Row],[Jr-Dr]]),4)</f>
        <v>0</v>
      </c>
      <c r="O3" s="52">
        <f>ROUND(IF(Transation[[#This Row],[Is Contra]],0,Transation[[#This Row],[Receipt (Debit)]]+Transation[[#This Row],[Deposit]]+Transation[[#This Row],[Jr-Cr]]),4)</f>
        <v>0</v>
      </c>
      <c r="P3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" s="52" t="str">
        <f>IF(ISBLANK(Transation[[#This Row],[Account Head]]),"",_xlfn.IFNA(INDEX(Tri[IsCredit],MATCH(Transation[[#This Row],[Account Head]],Tri[Account],0)),""))</f>
        <v/>
      </c>
      <c r="R3" s="52" t="b">
        <f>OR(Transation[[#This Row],[Is Contra C&amp;B]:[Is Contra C&amp;J]])</f>
        <v>0</v>
      </c>
      <c r="S3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" s="52" t="b">
        <f>OR(NOT(ISBLANK(Transation[[#This Row],[Receipt (Debit)]])),NOT(ISBLANK(Transation[[#This Row],[Payment (Credit)]])))</f>
        <v>0</v>
      </c>
      <c r="W3" s="52" t="b">
        <f>OR(NOT(ISBLANK(Transation[[#This Row],[Deposit]])),NOT(ISBLANK(Transation[[#This Row],[Withdraw]])))</f>
        <v>0</v>
      </c>
      <c r="X3" s="52" t="b">
        <f>OR(NOT(ISBLANK(Transation[[#This Row],[Jr-Dr]])),NOT(ISBLANK(Transation[[#This Row],[Jr-Cr]])))</f>
        <v>0</v>
      </c>
      <c r="Y3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" s="53">
        <f>IF(ISBLANK(Transation[[#This Row],[Date]]),0,Transation[[#This Row],[Date]]-INDEX(Transation[Date],MATCH("Opening",Transation[Reference],0)))</f>
        <v>0</v>
      </c>
    </row>
    <row r="4" spans="1:26" ht="13.8" x14ac:dyDescent="0.25">
      <c r="D4" s="56"/>
      <c r="G4" s="50">
        <f>ROUND(SUM(INDEX(Transation[Receipt (Debit)],1):Transation[[#This Row],[Receipt (Debit)]])-SUM(INDEX(Transation[Payment (Credit)],1):Transation[[#This Row],[Payment (Credit)]]),4)</f>
        <v>0</v>
      </c>
      <c r="H4" s="48"/>
      <c r="K4" s="51">
        <f>ROUND(SUBTOTAL(9,INDEX(Transation[Deposit],1):Transation[[#This Row],[Deposit]])-SUBTOTAL(9,INDEX(Transation[Withdraw],1):Transation[[#This Row],[Withdraw]]),4)</f>
        <v>0</v>
      </c>
      <c r="L4" s="57"/>
      <c r="N4" s="52">
        <f>ROUND(IF(Transation[[#This Row],[Is Contra]],0,Transation[[#This Row],[Payment (Credit)]]+Transation[[#This Row],[Withdraw]]+Transation[[#This Row],[Jr-Dr]]),4)</f>
        <v>0</v>
      </c>
      <c r="O4" s="52">
        <f>ROUND(IF(Transation[[#This Row],[Is Contra]],0,Transation[[#This Row],[Receipt (Debit)]]+Transation[[#This Row],[Deposit]]+Transation[[#This Row],[Jr-Cr]]),4)</f>
        <v>0</v>
      </c>
      <c r="P4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4" s="52" t="str">
        <f>IF(ISBLANK(Transation[[#This Row],[Account Head]]),"",_xlfn.IFNA(INDEX(Tri[IsCredit],MATCH(Transation[[#This Row],[Account Head]],Tri[Account],0)),""))</f>
        <v/>
      </c>
      <c r="R4" s="52" t="b">
        <f>OR(Transation[[#This Row],[Is Contra C&amp;B]:[Is Contra C&amp;J]])</f>
        <v>0</v>
      </c>
      <c r="S4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4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4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4" s="52" t="b">
        <f>OR(NOT(ISBLANK(Transation[[#This Row],[Receipt (Debit)]])),NOT(ISBLANK(Transation[[#This Row],[Payment (Credit)]])))</f>
        <v>0</v>
      </c>
      <c r="W4" s="52" t="b">
        <f>OR(NOT(ISBLANK(Transation[[#This Row],[Deposit]])),NOT(ISBLANK(Transation[[#This Row],[Withdraw]])))</f>
        <v>0</v>
      </c>
      <c r="X4" s="52" t="b">
        <f>OR(NOT(ISBLANK(Transation[[#This Row],[Jr-Dr]])),NOT(ISBLANK(Transation[[#This Row],[Jr-Cr]])))</f>
        <v>0</v>
      </c>
      <c r="Y4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4" s="53">
        <f>IF(ISBLANK(Transation[[#This Row],[Date]]),0,Transation[[#This Row],[Date]]-INDEX(Transation[Date],MATCH("Opening",Transation[Reference],0)))</f>
        <v>0</v>
      </c>
    </row>
    <row r="5" spans="1:26" ht="13.8" x14ac:dyDescent="0.25">
      <c r="D5" s="56"/>
      <c r="G5" s="50">
        <f>ROUND(SUM(INDEX(Transation[Receipt (Debit)],1):Transation[[#This Row],[Receipt (Debit)]])-SUM(INDEX(Transation[Payment (Credit)],1):Transation[[#This Row],[Payment (Credit)]]),4)</f>
        <v>0</v>
      </c>
      <c r="H5" s="48"/>
      <c r="K5" s="51">
        <f>ROUND(SUBTOTAL(9,INDEX(Transation[Deposit],1):Transation[[#This Row],[Deposit]])-SUBTOTAL(9,INDEX(Transation[Withdraw],1):Transation[[#This Row],[Withdraw]]),4)</f>
        <v>0</v>
      </c>
      <c r="L5" s="57"/>
      <c r="N5" s="52">
        <f>ROUND(IF(Transation[[#This Row],[Is Contra]],0,Transation[[#This Row],[Payment (Credit)]]+Transation[[#This Row],[Withdraw]]+Transation[[#This Row],[Jr-Dr]]),4)</f>
        <v>0</v>
      </c>
      <c r="O5" s="52">
        <f>ROUND(IF(Transation[[#This Row],[Is Contra]],0,Transation[[#This Row],[Receipt (Debit)]]+Transation[[#This Row],[Deposit]]+Transation[[#This Row],[Jr-Cr]]),4)</f>
        <v>0</v>
      </c>
      <c r="P5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5" s="52" t="str">
        <f>IF(ISBLANK(Transation[[#This Row],[Account Head]]),"",_xlfn.IFNA(INDEX(Tri[IsCredit],MATCH(Transation[[#This Row],[Account Head]],Tri[Account],0)),""))</f>
        <v/>
      </c>
      <c r="R5" s="52" t="b">
        <f>OR(Transation[[#This Row],[Is Contra C&amp;B]:[Is Contra C&amp;J]])</f>
        <v>0</v>
      </c>
      <c r="S5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5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5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5" s="52" t="b">
        <f>OR(NOT(ISBLANK(Transation[[#This Row],[Receipt (Debit)]])),NOT(ISBLANK(Transation[[#This Row],[Payment (Credit)]])))</f>
        <v>0</v>
      </c>
      <c r="W5" s="52" t="b">
        <f>OR(NOT(ISBLANK(Transation[[#This Row],[Deposit]])),NOT(ISBLANK(Transation[[#This Row],[Withdraw]])))</f>
        <v>0</v>
      </c>
      <c r="X5" s="52" t="b">
        <f>OR(NOT(ISBLANK(Transation[[#This Row],[Jr-Dr]])),NOT(ISBLANK(Transation[[#This Row],[Jr-Cr]])))</f>
        <v>0</v>
      </c>
      <c r="Y5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5" s="53">
        <f>IF(ISBLANK(Transation[[#This Row],[Date]]),0,Transation[[#This Row],[Date]]-INDEX(Transation[Date],MATCH("Opening",Transation[Reference],0)))</f>
        <v>0</v>
      </c>
    </row>
    <row r="6" spans="1:26" ht="13.8" x14ac:dyDescent="0.25">
      <c r="D6" s="56"/>
      <c r="G6" s="50">
        <f>ROUND(SUM(INDEX(Transation[Receipt (Debit)],1):Transation[[#This Row],[Receipt (Debit)]])-SUM(INDEX(Transation[Payment (Credit)],1):Transation[[#This Row],[Payment (Credit)]]),4)</f>
        <v>0</v>
      </c>
      <c r="H6" s="48"/>
      <c r="K6" s="51">
        <f>ROUND(SUBTOTAL(9,INDEX(Transation[Deposit],1):Transation[[#This Row],[Deposit]])-SUBTOTAL(9,INDEX(Transation[Withdraw],1):Transation[[#This Row],[Withdraw]]),4)</f>
        <v>0</v>
      </c>
      <c r="L6" s="57"/>
      <c r="N6" s="52">
        <f>ROUND(IF(Transation[[#This Row],[Is Contra]],0,Transation[[#This Row],[Payment (Credit)]]+Transation[[#This Row],[Withdraw]]+Transation[[#This Row],[Jr-Dr]]),4)</f>
        <v>0</v>
      </c>
      <c r="O6" s="52">
        <f>ROUND(IF(Transation[[#This Row],[Is Contra]],0,Transation[[#This Row],[Receipt (Debit)]]+Transation[[#This Row],[Deposit]]+Transation[[#This Row],[Jr-Cr]]),4)</f>
        <v>0</v>
      </c>
      <c r="P6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6" s="52" t="str">
        <f>IF(ISBLANK(Transation[[#This Row],[Account Head]]),"",_xlfn.IFNA(INDEX(Tri[IsCredit],MATCH(Transation[[#This Row],[Account Head]],Tri[Account],0)),""))</f>
        <v/>
      </c>
      <c r="R6" s="52" t="b">
        <f>OR(Transation[[#This Row],[Is Contra C&amp;B]:[Is Contra C&amp;J]])</f>
        <v>0</v>
      </c>
      <c r="S6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6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6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6" s="52" t="b">
        <f>OR(NOT(ISBLANK(Transation[[#This Row],[Receipt (Debit)]])),NOT(ISBLANK(Transation[[#This Row],[Payment (Credit)]])))</f>
        <v>0</v>
      </c>
      <c r="W6" s="52" t="b">
        <f>OR(NOT(ISBLANK(Transation[[#This Row],[Deposit]])),NOT(ISBLANK(Transation[[#This Row],[Withdraw]])))</f>
        <v>0</v>
      </c>
      <c r="X6" s="52" t="b">
        <f>OR(NOT(ISBLANK(Transation[[#This Row],[Jr-Dr]])),NOT(ISBLANK(Transation[[#This Row],[Jr-Cr]])))</f>
        <v>0</v>
      </c>
      <c r="Y6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6" s="53">
        <f>IF(ISBLANK(Transation[[#This Row],[Date]]),0,Transation[[#This Row],[Date]]-INDEX(Transation[Date],MATCH("Opening",Transation[Reference],0)))</f>
        <v>0</v>
      </c>
    </row>
    <row r="7" spans="1:26" ht="13.8" x14ac:dyDescent="0.25">
      <c r="D7" s="56"/>
      <c r="G7" s="50">
        <f>ROUND(SUM(INDEX(Transation[Receipt (Debit)],1):Transation[[#This Row],[Receipt (Debit)]])-SUM(INDEX(Transation[Payment (Credit)],1):Transation[[#This Row],[Payment (Credit)]]),4)</f>
        <v>0</v>
      </c>
      <c r="H7" s="48"/>
      <c r="K7" s="51">
        <f>ROUND(SUBTOTAL(9,INDEX(Transation[Deposit],1):Transation[[#This Row],[Deposit]])-SUBTOTAL(9,INDEX(Transation[Withdraw],1):Transation[[#This Row],[Withdraw]]),4)</f>
        <v>0</v>
      </c>
      <c r="L7" s="57"/>
      <c r="N7" s="52">
        <f>ROUND(IF(Transation[[#This Row],[Is Contra]],0,Transation[[#This Row],[Payment (Credit)]]+Transation[[#This Row],[Withdraw]]+Transation[[#This Row],[Jr-Dr]]),4)</f>
        <v>0</v>
      </c>
      <c r="O7" s="52">
        <f>ROUND(IF(Transation[[#This Row],[Is Contra]],0,Transation[[#This Row],[Receipt (Debit)]]+Transation[[#This Row],[Deposit]]+Transation[[#This Row],[Jr-Cr]]),4)</f>
        <v>0</v>
      </c>
      <c r="P7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7" s="52" t="str">
        <f>IF(ISBLANK(Transation[[#This Row],[Account Head]]),"",_xlfn.IFNA(INDEX(Tri[IsCredit],MATCH(Transation[[#This Row],[Account Head]],Tri[Account],0)),""))</f>
        <v/>
      </c>
      <c r="R7" s="52" t="b">
        <f>OR(Transation[[#This Row],[Is Contra C&amp;B]:[Is Contra C&amp;J]])</f>
        <v>0</v>
      </c>
      <c r="S7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7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7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7" s="52" t="b">
        <f>OR(NOT(ISBLANK(Transation[[#This Row],[Receipt (Debit)]])),NOT(ISBLANK(Transation[[#This Row],[Payment (Credit)]])))</f>
        <v>0</v>
      </c>
      <c r="W7" s="52" t="b">
        <f>OR(NOT(ISBLANK(Transation[[#This Row],[Deposit]])),NOT(ISBLANK(Transation[[#This Row],[Withdraw]])))</f>
        <v>0</v>
      </c>
      <c r="X7" s="52" t="b">
        <f>OR(NOT(ISBLANK(Transation[[#This Row],[Jr-Dr]])),NOT(ISBLANK(Transation[[#This Row],[Jr-Cr]])))</f>
        <v>0</v>
      </c>
      <c r="Y7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7" s="53">
        <f>IF(ISBLANK(Transation[[#This Row],[Date]]),0,Transation[[#This Row],[Date]]-INDEX(Transation[Date],MATCH("Opening",Transation[Reference],0)))</f>
        <v>0</v>
      </c>
    </row>
    <row r="8" spans="1:26" ht="13.8" x14ac:dyDescent="0.25">
      <c r="D8" s="56"/>
      <c r="G8" s="50">
        <f>ROUND(SUM(INDEX(Transation[Receipt (Debit)],1):Transation[[#This Row],[Receipt (Debit)]])-SUM(INDEX(Transation[Payment (Credit)],1):Transation[[#This Row],[Payment (Credit)]]),4)</f>
        <v>0</v>
      </c>
      <c r="H8" s="48"/>
      <c r="K8" s="51">
        <f>ROUND(SUBTOTAL(9,INDEX(Transation[Deposit],1):Transation[[#This Row],[Deposit]])-SUBTOTAL(9,INDEX(Transation[Withdraw],1):Transation[[#This Row],[Withdraw]]),4)</f>
        <v>0</v>
      </c>
      <c r="L8" s="57"/>
      <c r="N8" s="52">
        <f>ROUND(IF(Transation[[#This Row],[Is Contra]],0,Transation[[#This Row],[Payment (Credit)]]+Transation[[#This Row],[Withdraw]]+Transation[[#This Row],[Jr-Dr]]),4)</f>
        <v>0</v>
      </c>
      <c r="O8" s="52">
        <f>ROUND(IF(Transation[[#This Row],[Is Contra]],0,Transation[[#This Row],[Receipt (Debit)]]+Transation[[#This Row],[Deposit]]+Transation[[#This Row],[Jr-Cr]]),4)</f>
        <v>0</v>
      </c>
      <c r="P8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8" s="52" t="str">
        <f>IF(ISBLANK(Transation[[#This Row],[Account Head]]),"",_xlfn.IFNA(INDEX(Tri[IsCredit],MATCH(Transation[[#This Row],[Account Head]],Tri[Account],0)),""))</f>
        <v/>
      </c>
      <c r="R8" s="52" t="b">
        <f>OR(Transation[[#This Row],[Is Contra C&amp;B]:[Is Contra C&amp;J]])</f>
        <v>0</v>
      </c>
      <c r="S8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8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8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8" s="52" t="b">
        <f>OR(NOT(ISBLANK(Transation[[#This Row],[Receipt (Debit)]])),NOT(ISBLANK(Transation[[#This Row],[Payment (Credit)]])))</f>
        <v>0</v>
      </c>
      <c r="W8" s="52" t="b">
        <f>OR(NOT(ISBLANK(Transation[[#This Row],[Deposit]])),NOT(ISBLANK(Transation[[#This Row],[Withdraw]])))</f>
        <v>0</v>
      </c>
      <c r="X8" s="52" t="b">
        <f>OR(NOT(ISBLANK(Transation[[#This Row],[Jr-Dr]])),NOT(ISBLANK(Transation[[#This Row],[Jr-Cr]])))</f>
        <v>0</v>
      </c>
      <c r="Y8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8" s="53">
        <f>IF(ISBLANK(Transation[[#This Row],[Date]]),0,Transation[[#This Row],[Date]]-INDEX(Transation[Date],MATCH("Opening",Transation[Reference],0)))</f>
        <v>0</v>
      </c>
    </row>
    <row r="9" spans="1:26" ht="13.8" x14ac:dyDescent="0.25">
      <c r="D9" s="56"/>
      <c r="G9" s="50">
        <f>ROUND(SUM(INDEX(Transation[Receipt (Debit)],1):Transation[[#This Row],[Receipt (Debit)]])-SUM(INDEX(Transation[Payment (Credit)],1):Transation[[#This Row],[Payment (Credit)]]),4)</f>
        <v>0</v>
      </c>
      <c r="H9" s="48"/>
      <c r="K9" s="51">
        <f>ROUND(SUBTOTAL(9,INDEX(Transation[Deposit],1):Transation[[#This Row],[Deposit]])-SUBTOTAL(9,INDEX(Transation[Withdraw],1):Transation[[#This Row],[Withdraw]]),4)</f>
        <v>0</v>
      </c>
      <c r="L9" s="57"/>
      <c r="N9" s="52">
        <f>ROUND(IF(Transation[[#This Row],[Is Contra]],0,Transation[[#This Row],[Payment (Credit)]]+Transation[[#This Row],[Withdraw]]+Transation[[#This Row],[Jr-Dr]]),4)</f>
        <v>0</v>
      </c>
      <c r="O9" s="52">
        <f>ROUND(IF(Transation[[#This Row],[Is Contra]],0,Transation[[#This Row],[Receipt (Debit)]]+Transation[[#This Row],[Deposit]]+Transation[[#This Row],[Jr-Cr]]),4)</f>
        <v>0</v>
      </c>
      <c r="P9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9" s="52" t="str">
        <f>IF(ISBLANK(Transation[[#This Row],[Account Head]]),"",_xlfn.IFNA(INDEX(Tri[IsCredit],MATCH(Transation[[#This Row],[Account Head]],Tri[Account],0)),""))</f>
        <v/>
      </c>
      <c r="R9" s="52" t="b">
        <f>OR(Transation[[#This Row],[Is Contra C&amp;B]:[Is Contra C&amp;J]])</f>
        <v>0</v>
      </c>
      <c r="S9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9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9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9" s="52" t="b">
        <f>OR(NOT(ISBLANK(Transation[[#This Row],[Receipt (Debit)]])),NOT(ISBLANK(Transation[[#This Row],[Payment (Credit)]])))</f>
        <v>0</v>
      </c>
      <c r="W9" s="52" t="b">
        <f>OR(NOT(ISBLANK(Transation[[#This Row],[Deposit]])),NOT(ISBLANK(Transation[[#This Row],[Withdraw]])))</f>
        <v>0</v>
      </c>
      <c r="X9" s="52" t="b">
        <f>OR(NOT(ISBLANK(Transation[[#This Row],[Jr-Dr]])),NOT(ISBLANK(Transation[[#This Row],[Jr-Cr]])))</f>
        <v>0</v>
      </c>
      <c r="Y9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9" s="53">
        <f>IF(ISBLANK(Transation[[#This Row],[Date]]),0,Transation[[#This Row],[Date]]-INDEX(Transation[Date],MATCH("Opening",Transation[Reference],0)))</f>
        <v>0</v>
      </c>
    </row>
    <row r="10" spans="1:26" ht="13.8" x14ac:dyDescent="0.25">
      <c r="D10" s="56"/>
      <c r="G10" s="50">
        <f>ROUND(SUM(INDEX(Transation[Receipt (Debit)],1):Transation[[#This Row],[Receipt (Debit)]])-SUM(INDEX(Transation[Payment (Credit)],1):Transation[[#This Row],[Payment (Credit)]]),4)</f>
        <v>0</v>
      </c>
      <c r="H10" s="48"/>
      <c r="K10" s="51">
        <f>ROUND(SUBTOTAL(9,INDEX(Transation[Deposit],1):Transation[[#This Row],[Deposit]])-SUBTOTAL(9,INDEX(Transation[Withdraw],1):Transation[[#This Row],[Withdraw]]),4)</f>
        <v>0</v>
      </c>
      <c r="L10" s="57"/>
      <c r="N10" s="52">
        <f>ROUND(IF(Transation[[#This Row],[Is Contra]],0,Transation[[#This Row],[Payment (Credit)]]+Transation[[#This Row],[Withdraw]]+Transation[[#This Row],[Jr-Dr]]),4)</f>
        <v>0</v>
      </c>
      <c r="O10" s="52">
        <f>ROUND(IF(Transation[[#This Row],[Is Contra]],0,Transation[[#This Row],[Receipt (Debit)]]+Transation[[#This Row],[Deposit]]+Transation[[#This Row],[Jr-Cr]]),4)</f>
        <v>0</v>
      </c>
      <c r="P10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0" s="52" t="str">
        <f>IF(ISBLANK(Transation[[#This Row],[Account Head]]),"",_xlfn.IFNA(INDEX(Tri[IsCredit],MATCH(Transation[[#This Row],[Account Head]],Tri[Account],0)),""))</f>
        <v/>
      </c>
      <c r="R10" s="52" t="b">
        <f>OR(Transation[[#This Row],[Is Contra C&amp;B]:[Is Contra C&amp;J]])</f>
        <v>0</v>
      </c>
      <c r="S10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0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0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0" s="52" t="b">
        <f>OR(NOT(ISBLANK(Transation[[#This Row],[Receipt (Debit)]])),NOT(ISBLANK(Transation[[#This Row],[Payment (Credit)]])))</f>
        <v>0</v>
      </c>
      <c r="W10" s="52" t="b">
        <f>OR(NOT(ISBLANK(Transation[[#This Row],[Deposit]])),NOT(ISBLANK(Transation[[#This Row],[Withdraw]])))</f>
        <v>0</v>
      </c>
      <c r="X10" s="52" t="b">
        <f>OR(NOT(ISBLANK(Transation[[#This Row],[Jr-Dr]])),NOT(ISBLANK(Transation[[#This Row],[Jr-Cr]])))</f>
        <v>0</v>
      </c>
      <c r="Y10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0" s="53">
        <f>IF(ISBLANK(Transation[[#This Row],[Date]]),0,Transation[[#This Row],[Date]]-INDEX(Transation[Date],MATCH("Opening",Transation[Reference],0)))</f>
        <v>0</v>
      </c>
    </row>
    <row r="11" spans="1:26" ht="13.8" x14ac:dyDescent="0.25">
      <c r="D11" s="56"/>
      <c r="G11" s="50">
        <f>ROUND(SUM(INDEX(Transation[Receipt (Debit)],1):Transation[[#This Row],[Receipt (Debit)]])-SUM(INDEX(Transation[Payment (Credit)],1):Transation[[#This Row],[Payment (Credit)]]),4)</f>
        <v>0</v>
      </c>
      <c r="H11" s="48"/>
      <c r="K11" s="51">
        <f>ROUND(SUBTOTAL(9,INDEX(Transation[Deposit],1):Transation[[#This Row],[Deposit]])-SUBTOTAL(9,INDEX(Transation[Withdraw],1):Transation[[#This Row],[Withdraw]]),4)</f>
        <v>0</v>
      </c>
      <c r="L11" s="57"/>
      <c r="N11" s="52">
        <f>ROUND(IF(Transation[[#This Row],[Is Contra]],0,Transation[[#This Row],[Payment (Credit)]]+Transation[[#This Row],[Withdraw]]+Transation[[#This Row],[Jr-Dr]]),4)</f>
        <v>0</v>
      </c>
      <c r="O11" s="52">
        <f>ROUND(IF(Transation[[#This Row],[Is Contra]],0,Transation[[#This Row],[Receipt (Debit)]]+Transation[[#This Row],[Deposit]]+Transation[[#This Row],[Jr-Cr]]),4)</f>
        <v>0</v>
      </c>
      <c r="P11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1" s="52" t="str">
        <f>IF(ISBLANK(Transation[[#This Row],[Account Head]]),"",_xlfn.IFNA(INDEX(Tri[IsCredit],MATCH(Transation[[#This Row],[Account Head]],Tri[Account],0)),""))</f>
        <v/>
      </c>
      <c r="R11" s="52" t="b">
        <f>OR(Transation[[#This Row],[Is Contra C&amp;B]:[Is Contra C&amp;J]])</f>
        <v>0</v>
      </c>
      <c r="S11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1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1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1" s="52" t="b">
        <f>OR(NOT(ISBLANK(Transation[[#This Row],[Receipt (Debit)]])),NOT(ISBLANK(Transation[[#This Row],[Payment (Credit)]])))</f>
        <v>0</v>
      </c>
      <c r="W11" s="52" t="b">
        <f>OR(NOT(ISBLANK(Transation[[#This Row],[Deposit]])),NOT(ISBLANK(Transation[[#This Row],[Withdraw]])))</f>
        <v>0</v>
      </c>
      <c r="X11" s="52" t="b">
        <f>OR(NOT(ISBLANK(Transation[[#This Row],[Jr-Dr]])),NOT(ISBLANK(Transation[[#This Row],[Jr-Cr]])))</f>
        <v>0</v>
      </c>
      <c r="Y11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1" s="53">
        <f>IF(ISBLANK(Transation[[#This Row],[Date]]),0,Transation[[#This Row],[Date]]-INDEX(Transation[Date],MATCH("Opening",Transation[Reference],0)))</f>
        <v>0</v>
      </c>
    </row>
    <row r="12" spans="1:26" ht="12.75" customHeight="1" x14ac:dyDescent="0.25">
      <c r="D12" s="56"/>
      <c r="G12" s="50">
        <f>ROUND(SUM(INDEX(Transation[Receipt (Debit)],1):Transation[[#This Row],[Receipt (Debit)]])-SUM(INDEX(Transation[Payment (Credit)],1):Transation[[#This Row],[Payment (Credit)]]),4)</f>
        <v>0</v>
      </c>
      <c r="H12" s="48"/>
      <c r="K12" s="51">
        <f>ROUND(SUBTOTAL(9,INDEX(Transation[Deposit],1):Transation[[#This Row],[Deposit]])-SUBTOTAL(9,INDEX(Transation[Withdraw],1):Transation[[#This Row],[Withdraw]]),4)</f>
        <v>0</v>
      </c>
      <c r="L12" s="57"/>
      <c r="N12" s="52">
        <f>ROUND(IF(Transation[[#This Row],[Is Contra]],0,Transation[[#This Row],[Payment (Credit)]]+Transation[[#This Row],[Withdraw]]+Transation[[#This Row],[Jr-Dr]]),4)</f>
        <v>0</v>
      </c>
      <c r="O12" s="52">
        <f>ROUND(IF(Transation[[#This Row],[Is Contra]],0,Transation[[#This Row],[Receipt (Debit)]]+Transation[[#This Row],[Deposit]]+Transation[[#This Row],[Jr-Cr]]),4)</f>
        <v>0</v>
      </c>
      <c r="P12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2" s="52" t="str">
        <f>IF(ISBLANK(Transation[[#This Row],[Account Head]]),"",_xlfn.IFNA(INDEX(Tri[IsCredit],MATCH(Transation[[#This Row],[Account Head]],Tri[Account],0)),""))</f>
        <v/>
      </c>
      <c r="R12" s="52" t="b">
        <f>OR(Transation[[#This Row],[Is Contra C&amp;B]:[Is Contra C&amp;J]])</f>
        <v>0</v>
      </c>
      <c r="S12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2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2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2" s="52" t="b">
        <f>OR(NOT(ISBLANK(Transation[[#This Row],[Receipt (Debit)]])),NOT(ISBLANK(Transation[[#This Row],[Payment (Credit)]])))</f>
        <v>0</v>
      </c>
      <c r="W12" s="52" t="b">
        <f>OR(NOT(ISBLANK(Transation[[#This Row],[Deposit]])),NOT(ISBLANK(Transation[[#This Row],[Withdraw]])))</f>
        <v>0</v>
      </c>
      <c r="X12" s="52" t="b">
        <f>OR(NOT(ISBLANK(Transation[[#This Row],[Jr-Dr]])),NOT(ISBLANK(Transation[[#This Row],[Jr-Cr]])))</f>
        <v>0</v>
      </c>
      <c r="Y12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2" s="53">
        <f>IF(ISBLANK(Transation[[#This Row],[Date]]),0,Transation[[#This Row],[Date]]-INDEX(Transation[Date],MATCH("Opening",Transation[Reference],0)))</f>
        <v>0</v>
      </c>
    </row>
    <row r="13" spans="1:26" ht="13.8" x14ac:dyDescent="0.25">
      <c r="D13" s="56"/>
      <c r="G13" s="50">
        <f>ROUND(SUM(INDEX(Transation[Receipt (Debit)],1):Transation[[#This Row],[Receipt (Debit)]])-SUM(INDEX(Transation[Payment (Credit)],1):Transation[[#This Row],[Payment (Credit)]]),4)</f>
        <v>0</v>
      </c>
      <c r="H13" s="48"/>
      <c r="K13" s="51">
        <f>ROUND(SUBTOTAL(9,INDEX(Transation[Deposit],1):Transation[[#This Row],[Deposit]])-SUBTOTAL(9,INDEX(Transation[Withdraw],1):Transation[[#This Row],[Withdraw]]),4)</f>
        <v>0</v>
      </c>
      <c r="L13" s="57"/>
      <c r="N13" s="52">
        <f>ROUND(IF(Transation[[#This Row],[Is Contra]],0,Transation[[#This Row],[Payment (Credit)]]+Transation[[#This Row],[Withdraw]]+Transation[[#This Row],[Jr-Dr]]),4)</f>
        <v>0</v>
      </c>
      <c r="O13" s="52">
        <f>ROUND(IF(Transation[[#This Row],[Is Contra]],0,Transation[[#This Row],[Receipt (Debit)]]+Transation[[#This Row],[Deposit]]+Transation[[#This Row],[Jr-Cr]]),4)</f>
        <v>0</v>
      </c>
      <c r="P13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3" s="52" t="str">
        <f>IF(ISBLANK(Transation[[#This Row],[Account Head]]),"",_xlfn.IFNA(INDEX(Tri[IsCredit],MATCH(Transation[[#This Row],[Account Head]],Tri[Account],0)),""))</f>
        <v/>
      </c>
      <c r="R13" s="52" t="b">
        <f>OR(Transation[[#This Row],[Is Contra C&amp;B]:[Is Contra C&amp;J]])</f>
        <v>0</v>
      </c>
      <c r="S13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3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3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3" s="52" t="b">
        <f>OR(NOT(ISBLANK(Transation[[#This Row],[Receipt (Debit)]])),NOT(ISBLANK(Transation[[#This Row],[Payment (Credit)]])))</f>
        <v>0</v>
      </c>
      <c r="W13" s="52" t="b">
        <f>OR(NOT(ISBLANK(Transation[[#This Row],[Deposit]])),NOT(ISBLANK(Transation[[#This Row],[Withdraw]])))</f>
        <v>0</v>
      </c>
      <c r="X13" s="52" t="b">
        <f>OR(NOT(ISBLANK(Transation[[#This Row],[Jr-Dr]])),NOT(ISBLANK(Transation[[#This Row],[Jr-Cr]])))</f>
        <v>0</v>
      </c>
      <c r="Y13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3" s="53">
        <f>IF(ISBLANK(Transation[[#This Row],[Date]]),0,Transation[[#This Row],[Date]]-INDEX(Transation[Date],MATCH("Opening",Transation[Reference],0)))</f>
        <v>0</v>
      </c>
    </row>
    <row r="14" spans="1:26" ht="13.8" x14ac:dyDescent="0.25">
      <c r="D14" s="56"/>
      <c r="G14" s="50">
        <f>ROUND(SUM(INDEX(Transation[Receipt (Debit)],1):Transation[[#This Row],[Receipt (Debit)]])-SUM(INDEX(Transation[Payment (Credit)],1):Transation[[#This Row],[Payment (Credit)]]),4)</f>
        <v>0</v>
      </c>
      <c r="H14" s="48"/>
      <c r="K14" s="51">
        <f>ROUND(SUBTOTAL(9,INDEX(Transation[Deposit],1):Transation[[#This Row],[Deposit]])-SUBTOTAL(9,INDEX(Transation[Withdraw],1):Transation[[#This Row],[Withdraw]]),4)</f>
        <v>0</v>
      </c>
      <c r="L14" s="57"/>
      <c r="N14" s="52">
        <f>ROUND(IF(Transation[[#This Row],[Is Contra]],0,Transation[[#This Row],[Payment (Credit)]]+Transation[[#This Row],[Withdraw]]+Transation[[#This Row],[Jr-Dr]]),4)</f>
        <v>0</v>
      </c>
      <c r="O14" s="52">
        <f>ROUND(IF(Transation[[#This Row],[Is Contra]],0,Transation[[#This Row],[Receipt (Debit)]]+Transation[[#This Row],[Deposit]]+Transation[[#This Row],[Jr-Cr]]),4)</f>
        <v>0</v>
      </c>
      <c r="P14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4" s="52" t="str">
        <f>IF(ISBLANK(Transation[[#This Row],[Account Head]]),"",_xlfn.IFNA(INDEX(Tri[IsCredit],MATCH(Transation[[#This Row],[Account Head]],Tri[Account],0)),""))</f>
        <v/>
      </c>
      <c r="R14" s="52" t="b">
        <f>OR(Transation[[#This Row],[Is Contra C&amp;B]:[Is Contra C&amp;J]])</f>
        <v>0</v>
      </c>
      <c r="S14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4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4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4" s="52" t="b">
        <f>OR(NOT(ISBLANK(Transation[[#This Row],[Receipt (Debit)]])),NOT(ISBLANK(Transation[[#This Row],[Payment (Credit)]])))</f>
        <v>0</v>
      </c>
      <c r="W14" s="52" t="b">
        <f>OR(NOT(ISBLANK(Transation[[#This Row],[Deposit]])),NOT(ISBLANK(Transation[[#This Row],[Withdraw]])))</f>
        <v>0</v>
      </c>
      <c r="X14" s="52" t="b">
        <f>OR(NOT(ISBLANK(Transation[[#This Row],[Jr-Dr]])),NOT(ISBLANK(Transation[[#This Row],[Jr-Cr]])))</f>
        <v>0</v>
      </c>
      <c r="Y14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4" s="53">
        <f>IF(ISBLANK(Transation[[#This Row],[Date]]),0,Transation[[#This Row],[Date]]-INDEX(Transation[Date],MATCH("Opening",Transation[Reference],0)))</f>
        <v>0</v>
      </c>
    </row>
    <row r="15" spans="1:26" ht="13.8" x14ac:dyDescent="0.25">
      <c r="D15" s="56"/>
      <c r="G15" s="50">
        <f>ROUND(SUM(INDEX(Transation[Receipt (Debit)],1):Transation[[#This Row],[Receipt (Debit)]])-SUM(INDEX(Transation[Payment (Credit)],1):Transation[[#This Row],[Payment (Credit)]]),4)</f>
        <v>0</v>
      </c>
      <c r="H15" s="48"/>
      <c r="K15" s="51">
        <f>ROUND(SUBTOTAL(9,INDEX(Transation[Deposit],1):Transation[[#This Row],[Deposit]])-SUBTOTAL(9,INDEX(Transation[Withdraw],1):Transation[[#This Row],[Withdraw]]),4)</f>
        <v>0</v>
      </c>
      <c r="L15" s="57"/>
      <c r="N15" s="52">
        <f>ROUND(IF(Transation[[#This Row],[Is Contra]],0,Transation[[#This Row],[Payment (Credit)]]+Transation[[#This Row],[Withdraw]]+Transation[[#This Row],[Jr-Dr]]),4)</f>
        <v>0</v>
      </c>
      <c r="O15" s="52">
        <f>ROUND(IF(Transation[[#This Row],[Is Contra]],0,Transation[[#This Row],[Receipt (Debit)]]+Transation[[#This Row],[Deposit]]+Transation[[#This Row],[Jr-Cr]]),4)</f>
        <v>0</v>
      </c>
      <c r="P15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5" s="52" t="str">
        <f>IF(ISBLANK(Transation[[#This Row],[Account Head]]),"",_xlfn.IFNA(INDEX(Tri[IsCredit],MATCH(Transation[[#This Row],[Account Head]],Tri[Account],0)),""))</f>
        <v/>
      </c>
      <c r="R15" s="52" t="b">
        <f>OR(Transation[[#This Row],[Is Contra C&amp;B]:[Is Contra C&amp;J]])</f>
        <v>0</v>
      </c>
      <c r="S15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5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5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5" s="52" t="b">
        <f>OR(NOT(ISBLANK(Transation[[#This Row],[Receipt (Debit)]])),NOT(ISBLANK(Transation[[#This Row],[Payment (Credit)]])))</f>
        <v>0</v>
      </c>
      <c r="W15" s="52" t="b">
        <f>OR(NOT(ISBLANK(Transation[[#This Row],[Deposit]])),NOT(ISBLANK(Transation[[#This Row],[Withdraw]])))</f>
        <v>0</v>
      </c>
      <c r="X15" s="52" t="b">
        <f>OR(NOT(ISBLANK(Transation[[#This Row],[Jr-Dr]])),NOT(ISBLANK(Transation[[#This Row],[Jr-Cr]])))</f>
        <v>0</v>
      </c>
      <c r="Y15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5" s="53">
        <f>IF(ISBLANK(Transation[[#This Row],[Date]]),0,Transation[[#This Row],[Date]]-INDEX(Transation[Date],MATCH("Opening",Transation[Reference],0)))</f>
        <v>0</v>
      </c>
    </row>
    <row r="16" spans="1:26" ht="13.8" x14ac:dyDescent="0.25">
      <c r="D16" s="56"/>
      <c r="G16" s="50">
        <f>ROUND(SUM(INDEX(Transation[Receipt (Debit)],1):Transation[[#This Row],[Receipt (Debit)]])-SUM(INDEX(Transation[Payment (Credit)],1):Transation[[#This Row],[Payment (Credit)]]),4)</f>
        <v>0</v>
      </c>
      <c r="H16" s="48"/>
      <c r="K16" s="51">
        <f>ROUND(SUBTOTAL(9,INDEX(Transation[Deposit],1):Transation[[#This Row],[Deposit]])-SUBTOTAL(9,INDEX(Transation[Withdraw],1):Transation[[#This Row],[Withdraw]]),4)</f>
        <v>0</v>
      </c>
      <c r="L16" s="57"/>
      <c r="N16" s="52">
        <f>ROUND(IF(Transation[[#This Row],[Is Contra]],0,Transation[[#This Row],[Payment (Credit)]]+Transation[[#This Row],[Withdraw]]+Transation[[#This Row],[Jr-Dr]]),4)</f>
        <v>0</v>
      </c>
      <c r="O16" s="52">
        <f>ROUND(IF(Transation[[#This Row],[Is Contra]],0,Transation[[#This Row],[Receipt (Debit)]]+Transation[[#This Row],[Deposit]]+Transation[[#This Row],[Jr-Cr]]),4)</f>
        <v>0</v>
      </c>
      <c r="P16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6" s="52" t="str">
        <f>IF(ISBLANK(Transation[[#This Row],[Account Head]]),"",_xlfn.IFNA(INDEX(Tri[IsCredit],MATCH(Transation[[#This Row],[Account Head]],Tri[Account],0)),""))</f>
        <v/>
      </c>
      <c r="R16" s="52" t="b">
        <f>OR(Transation[[#This Row],[Is Contra C&amp;B]:[Is Contra C&amp;J]])</f>
        <v>0</v>
      </c>
      <c r="S16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6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6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6" s="52" t="b">
        <f>OR(NOT(ISBLANK(Transation[[#This Row],[Receipt (Debit)]])),NOT(ISBLANK(Transation[[#This Row],[Payment (Credit)]])))</f>
        <v>0</v>
      </c>
      <c r="W16" s="52" t="b">
        <f>OR(NOT(ISBLANK(Transation[[#This Row],[Deposit]])),NOT(ISBLANK(Transation[[#This Row],[Withdraw]])))</f>
        <v>0</v>
      </c>
      <c r="X16" s="52" t="b">
        <f>OR(NOT(ISBLANK(Transation[[#This Row],[Jr-Dr]])),NOT(ISBLANK(Transation[[#This Row],[Jr-Cr]])))</f>
        <v>0</v>
      </c>
      <c r="Y16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6" s="53">
        <f>IF(ISBLANK(Transation[[#This Row],[Date]]),0,Transation[[#This Row],[Date]]-INDEX(Transation[Date],MATCH("Opening",Transation[Reference],0)))</f>
        <v>0</v>
      </c>
    </row>
    <row r="17" spans="4:26" ht="13.8" x14ac:dyDescent="0.25">
      <c r="D17" s="56"/>
      <c r="G17" s="50">
        <f>ROUND(SUM(INDEX(Transation[Receipt (Debit)],1):Transation[[#This Row],[Receipt (Debit)]])-SUM(INDEX(Transation[Payment (Credit)],1):Transation[[#This Row],[Payment (Credit)]]),4)</f>
        <v>0</v>
      </c>
      <c r="H17" s="48"/>
      <c r="K17" s="51">
        <f>ROUND(SUBTOTAL(9,INDEX(Transation[Deposit],1):Transation[[#This Row],[Deposit]])-SUBTOTAL(9,INDEX(Transation[Withdraw],1):Transation[[#This Row],[Withdraw]]),4)</f>
        <v>0</v>
      </c>
      <c r="L17" s="57"/>
      <c r="N17" s="52">
        <f>ROUND(IF(Transation[[#This Row],[Is Contra]],0,Transation[[#This Row],[Payment (Credit)]]+Transation[[#This Row],[Withdraw]]+Transation[[#This Row],[Jr-Dr]]),4)</f>
        <v>0</v>
      </c>
      <c r="O17" s="52">
        <f>ROUND(IF(Transation[[#This Row],[Is Contra]],0,Transation[[#This Row],[Receipt (Debit)]]+Transation[[#This Row],[Deposit]]+Transation[[#This Row],[Jr-Cr]]),4)</f>
        <v>0</v>
      </c>
      <c r="P17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7" s="52" t="str">
        <f>IF(ISBLANK(Transation[[#This Row],[Account Head]]),"",_xlfn.IFNA(INDEX(Tri[IsCredit],MATCH(Transation[[#This Row],[Account Head]],Tri[Account],0)),""))</f>
        <v/>
      </c>
      <c r="R17" s="52" t="b">
        <f>OR(Transation[[#This Row],[Is Contra C&amp;B]:[Is Contra C&amp;J]])</f>
        <v>0</v>
      </c>
      <c r="S17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7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7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7" s="52" t="b">
        <f>OR(NOT(ISBLANK(Transation[[#This Row],[Receipt (Debit)]])),NOT(ISBLANK(Transation[[#This Row],[Payment (Credit)]])))</f>
        <v>0</v>
      </c>
      <c r="W17" s="52" t="b">
        <f>OR(NOT(ISBLANK(Transation[[#This Row],[Deposit]])),NOT(ISBLANK(Transation[[#This Row],[Withdraw]])))</f>
        <v>0</v>
      </c>
      <c r="X17" s="52" t="b">
        <f>OR(NOT(ISBLANK(Transation[[#This Row],[Jr-Dr]])),NOT(ISBLANK(Transation[[#This Row],[Jr-Cr]])))</f>
        <v>0</v>
      </c>
      <c r="Y17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7" s="53">
        <f>IF(ISBLANK(Transation[[#This Row],[Date]]),0,Transation[[#This Row],[Date]]-INDEX(Transation[Date],MATCH("Opening",Transation[Reference],0)))</f>
        <v>0</v>
      </c>
    </row>
    <row r="18" spans="4:26" ht="13.8" x14ac:dyDescent="0.25">
      <c r="D18" s="56"/>
      <c r="G18" s="50">
        <f>ROUND(SUM(INDEX(Transation[Receipt (Debit)],1):Transation[[#This Row],[Receipt (Debit)]])-SUM(INDEX(Transation[Payment (Credit)],1):Transation[[#This Row],[Payment (Credit)]]),4)</f>
        <v>0</v>
      </c>
      <c r="H18" s="48"/>
      <c r="K18" s="51">
        <f>ROUND(SUBTOTAL(9,INDEX(Transation[Deposit],1):Transation[[#This Row],[Deposit]])-SUBTOTAL(9,INDEX(Transation[Withdraw],1):Transation[[#This Row],[Withdraw]]),4)</f>
        <v>0</v>
      </c>
      <c r="L18" s="57"/>
      <c r="N18" s="52">
        <f>ROUND(IF(Transation[[#This Row],[Is Contra]],0,Transation[[#This Row],[Payment (Credit)]]+Transation[[#This Row],[Withdraw]]+Transation[[#This Row],[Jr-Dr]]),4)</f>
        <v>0</v>
      </c>
      <c r="O18" s="52">
        <f>ROUND(IF(Transation[[#This Row],[Is Contra]],0,Transation[[#This Row],[Receipt (Debit)]]+Transation[[#This Row],[Deposit]]+Transation[[#This Row],[Jr-Cr]]),4)</f>
        <v>0</v>
      </c>
      <c r="P18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8" s="52" t="str">
        <f>IF(ISBLANK(Transation[[#This Row],[Account Head]]),"",_xlfn.IFNA(INDEX(Tri[IsCredit],MATCH(Transation[[#This Row],[Account Head]],Tri[Account],0)),""))</f>
        <v/>
      </c>
      <c r="R18" s="52" t="b">
        <f>OR(Transation[[#This Row],[Is Contra C&amp;B]:[Is Contra C&amp;J]])</f>
        <v>0</v>
      </c>
      <c r="S18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8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8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8" s="52" t="b">
        <f>OR(NOT(ISBLANK(Transation[[#This Row],[Receipt (Debit)]])),NOT(ISBLANK(Transation[[#This Row],[Payment (Credit)]])))</f>
        <v>0</v>
      </c>
      <c r="W18" s="52" t="b">
        <f>OR(NOT(ISBLANK(Transation[[#This Row],[Deposit]])),NOT(ISBLANK(Transation[[#This Row],[Withdraw]])))</f>
        <v>0</v>
      </c>
      <c r="X18" s="52" t="b">
        <f>OR(NOT(ISBLANK(Transation[[#This Row],[Jr-Dr]])),NOT(ISBLANK(Transation[[#This Row],[Jr-Cr]])))</f>
        <v>0</v>
      </c>
      <c r="Y18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8" s="53">
        <f>IF(ISBLANK(Transation[[#This Row],[Date]]),0,Transation[[#This Row],[Date]]-INDEX(Transation[Date],MATCH("Opening",Transation[Reference],0)))</f>
        <v>0</v>
      </c>
    </row>
    <row r="19" spans="4:26" ht="13.8" x14ac:dyDescent="0.25">
      <c r="D19" s="56"/>
      <c r="G19" s="50">
        <f>ROUND(SUM(INDEX(Transation[Receipt (Debit)],1):Transation[[#This Row],[Receipt (Debit)]])-SUM(INDEX(Transation[Payment (Credit)],1):Transation[[#This Row],[Payment (Credit)]]),4)</f>
        <v>0</v>
      </c>
      <c r="H19" s="48"/>
      <c r="K19" s="51">
        <f>ROUND(SUBTOTAL(9,INDEX(Transation[Deposit],1):Transation[[#This Row],[Deposit]])-SUBTOTAL(9,INDEX(Transation[Withdraw],1):Transation[[#This Row],[Withdraw]]),4)</f>
        <v>0</v>
      </c>
      <c r="L19" s="57"/>
      <c r="N19" s="52">
        <f>ROUND(IF(Transation[[#This Row],[Is Contra]],0,Transation[[#This Row],[Payment (Credit)]]+Transation[[#This Row],[Withdraw]]+Transation[[#This Row],[Jr-Dr]]),4)</f>
        <v>0</v>
      </c>
      <c r="O19" s="52">
        <f>ROUND(IF(Transation[[#This Row],[Is Contra]],0,Transation[[#This Row],[Receipt (Debit)]]+Transation[[#This Row],[Deposit]]+Transation[[#This Row],[Jr-Cr]]),4)</f>
        <v>0</v>
      </c>
      <c r="P19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19" s="52" t="str">
        <f>IF(ISBLANK(Transation[[#This Row],[Account Head]]),"",_xlfn.IFNA(INDEX(Tri[IsCredit],MATCH(Transation[[#This Row],[Account Head]],Tri[Account],0)),""))</f>
        <v/>
      </c>
      <c r="R19" s="52" t="b">
        <f>OR(Transation[[#This Row],[Is Contra C&amp;B]:[Is Contra C&amp;J]])</f>
        <v>0</v>
      </c>
      <c r="S19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19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19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19" s="52" t="b">
        <f>OR(NOT(ISBLANK(Transation[[#This Row],[Receipt (Debit)]])),NOT(ISBLANK(Transation[[#This Row],[Payment (Credit)]])))</f>
        <v>0</v>
      </c>
      <c r="W19" s="52" t="b">
        <f>OR(NOT(ISBLANK(Transation[[#This Row],[Deposit]])),NOT(ISBLANK(Transation[[#This Row],[Withdraw]])))</f>
        <v>0</v>
      </c>
      <c r="X19" s="52" t="b">
        <f>OR(NOT(ISBLANK(Transation[[#This Row],[Jr-Dr]])),NOT(ISBLANK(Transation[[#This Row],[Jr-Cr]])))</f>
        <v>0</v>
      </c>
      <c r="Y19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19" s="53">
        <f>IF(ISBLANK(Transation[[#This Row],[Date]]),0,Transation[[#This Row],[Date]]-INDEX(Transation[Date],MATCH("Opening",Transation[Reference],0)))</f>
        <v>0</v>
      </c>
    </row>
    <row r="20" spans="4:26" ht="13.8" x14ac:dyDescent="0.25">
      <c r="D20" s="56"/>
      <c r="G20" s="50">
        <f>ROUND(SUM(INDEX(Transation[Receipt (Debit)],1):Transation[[#This Row],[Receipt (Debit)]])-SUM(INDEX(Transation[Payment (Credit)],1):Transation[[#This Row],[Payment (Credit)]]),4)</f>
        <v>0</v>
      </c>
      <c r="H20" s="48"/>
      <c r="K20" s="51">
        <f>ROUND(SUBTOTAL(9,INDEX(Transation[Deposit],1):Transation[[#This Row],[Deposit]])-SUBTOTAL(9,INDEX(Transation[Withdraw],1):Transation[[#This Row],[Withdraw]]),4)</f>
        <v>0</v>
      </c>
      <c r="L20" s="57"/>
      <c r="N20" s="52">
        <f>ROUND(IF(Transation[[#This Row],[Is Contra]],0,Transation[[#This Row],[Payment (Credit)]]+Transation[[#This Row],[Withdraw]]+Transation[[#This Row],[Jr-Dr]]),4)</f>
        <v>0</v>
      </c>
      <c r="O20" s="52">
        <f>ROUND(IF(Transation[[#This Row],[Is Contra]],0,Transation[[#This Row],[Receipt (Debit)]]+Transation[[#This Row],[Deposit]]+Transation[[#This Row],[Jr-Cr]]),4)</f>
        <v>0</v>
      </c>
      <c r="P20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0" s="52" t="str">
        <f>IF(ISBLANK(Transation[[#This Row],[Account Head]]),"",_xlfn.IFNA(INDEX(Tri[IsCredit],MATCH(Transation[[#This Row],[Account Head]],Tri[Account],0)),""))</f>
        <v/>
      </c>
      <c r="R20" s="52" t="b">
        <f>OR(Transation[[#This Row],[Is Contra C&amp;B]:[Is Contra C&amp;J]])</f>
        <v>0</v>
      </c>
      <c r="S20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0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0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0" s="52" t="b">
        <f>OR(NOT(ISBLANK(Transation[[#This Row],[Receipt (Debit)]])),NOT(ISBLANK(Transation[[#This Row],[Payment (Credit)]])))</f>
        <v>0</v>
      </c>
      <c r="W20" s="52" t="b">
        <f>OR(NOT(ISBLANK(Transation[[#This Row],[Deposit]])),NOT(ISBLANK(Transation[[#This Row],[Withdraw]])))</f>
        <v>0</v>
      </c>
      <c r="X20" s="52" t="b">
        <f>OR(NOT(ISBLANK(Transation[[#This Row],[Jr-Dr]])),NOT(ISBLANK(Transation[[#This Row],[Jr-Cr]])))</f>
        <v>0</v>
      </c>
      <c r="Y20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0" s="53">
        <f>IF(ISBLANK(Transation[[#This Row],[Date]]),0,Transation[[#This Row],[Date]]-INDEX(Transation[Date],MATCH("Opening",Transation[Reference],0)))</f>
        <v>0</v>
      </c>
    </row>
    <row r="21" spans="4:26" ht="13.8" x14ac:dyDescent="0.25">
      <c r="D21" s="56"/>
      <c r="G21" s="50">
        <f>ROUND(SUM(INDEX(Transation[Receipt (Debit)],1):Transation[[#This Row],[Receipt (Debit)]])-SUM(INDEX(Transation[Payment (Credit)],1):Transation[[#This Row],[Payment (Credit)]]),4)</f>
        <v>0</v>
      </c>
      <c r="H21" s="48"/>
      <c r="K21" s="51">
        <f>ROUND(SUBTOTAL(9,INDEX(Transation[Deposit],1):Transation[[#This Row],[Deposit]])-SUBTOTAL(9,INDEX(Transation[Withdraw],1):Transation[[#This Row],[Withdraw]]),4)</f>
        <v>0</v>
      </c>
      <c r="L21" s="57"/>
      <c r="N21" s="52">
        <f>ROUND(IF(Transation[[#This Row],[Is Contra]],0,Transation[[#This Row],[Payment (Credit)]]+Transation[[#This Row],[Withdraw]]+Transation[[#This Row],[Jr-Dr]]),4)</f>
        <v>0</v>
      </c>
      <c r="O21" s="52">
        <f>ROUND(IF(Transation[[#This Row],[Is Contra]],0,Transation[[#This Row],[Receipt (Debit)]]+Transation[[#This Row],[Deposit]]+Transation[[#This Row],[Jr-Cr]]),4)</f>
        <v>0</v>
      </c>
      <c r="P21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1" s="52" t="str">
        <f>IF(ISBLANK(Transation[[#This Row],[Account Head]]),"",_xlfn.IFNA(INDEX(Tri[IsCredit],MATCH(Transation[[#This Row],[Account Head]],Tri[Account],0)),""))</f>
        <v/>
      </c>
      <c r="R21" s="52" t="b">
        <f>OR(Transation[[#This Row],[Is Contra C&amp;B]:[Is Contra C&amp;J]])</f>
        <v>0</v>
      </c>
      <c r="S21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1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1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1" s="52" t="b">
        <f>OR(NOT(ISBLANK(Transation[[#This Row],[Receipt (Debit)]])),NOT(ISBLANK(Transation[[#This Row],[Payment (Credit)]])))</f>
        <v>0</v>
      </c>
      <c r="W21" s="52" t="b">
        <f>OR(NOT(ISBLANK(Transation[[#This Row],[Deposit]])),NOT(ISBLANK(Transation[[#This Row],[Withdraw]])))</f>
        <v>0</v>
      </c>
      <c r="X21" s="52" t="b">
        <f>OR(NOT(ISBLANK(Transation[[#This Row],[Jr-Dr]])),NOT(ISBLANK(Transation[[#This Row],[Jr-Cr]])))</f>
        <v>0</v>
      </c>
      <c r="Y21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1" s="53">
        <f>IF(ISBLANK(Transation[[#This Row],[Date]]),0,Transation[[#This Row],[Date]]-INDEX(Transation[Date],MATCH("Opening",Transation[Reference],0)))</f>
        <v>0</v>
      </c>
    </row>
    <row r="22" spans="4:26" ht="13.8" x14ac:dyDescent="0.25">
      <c r="D22" s="56"/>
      <c r="G22" s="50">
        <f>ROUND(SUM(INDEX(Transation[Receipt (Debit)],1):Transation[[#This Row],[Receipt (Debit)]])-SUM(INDEX(Transation[Payment (Credit)],1):Transation[[#This Row],[Payment (Credit)]]),4)</f>
        <v>0</v>
      </c>
      <c r="H22" s="48"/>
      <c r="K22" s="51">
        <f>ROUND(SUBTOTAL(9,INDEX(Transation[Deposit],1):Transation[[#This Row],[Deposit]])-SUBTOTAL(9,INDEX(Transation[Withdraw],1):Transation[[#This Row],[Withdraw]]),4)</f>
        <v>0</v>
      </c>
      <c r="L22" s="57"/>
      <c r="N22" s="52">
        <f>ROUND(IF(Transation[[#This Row],[Is Contra]],0,Transation[[#This Row],[Payment (Credit)]]+Transation[[#This Row],[Withdraw]]+Transation[[#This Row],[Jr-Dr]]),4)</f>
        <v>0</v>
      </c>
      <c r="O22" s="52">
        <f>ROUND(IF(Transation[[#This Row],[Is Contra]],0,Transation[[#This Row],[Receipt (Debit)]]+Transation[[#This Row],[Deposit]]+Transation[[#This Row],[Jr-Cr]]),4)</f>
        <v>0</v>
      </c>
      <c r="P22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2" s="52" t="str">
        <f>IF(ISBLANK(Transation[[#This Row],[Account Head]]),"",_xlfn.IFNA(INDEX(Tri[IsCredit],MATCH(Transation[[#This Row],[Account Head]],Tri[Account],0)),""))</f>
        <v/>
      </c>
      <c r="R22" s="52" t="b">
        <f>OR(Transation[[#This Row],[Is Contra C&amp;B]:[Is Contra C&amp;J]])</f>
        <v>0</v>
      </c>
      <c r="S22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2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2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2" s="52" t="b">
        <f>OR(NOT(ISBLANK(Transation[[#This Row],[Receipt (Debit)]])),NOT(ISBLANK(Transation[[#This Row],[Payment (Credit)]])))</f>
        <v>0</v>
      </c>
      <c r="W22" s="52" t="b">
        <f>OR(NOT(ISBLANK(Transation[[#This Row],[Deposit]])),NOT(ISBLANK(Transation[[#This Row],[Withdraw]])))</f>
        <v>0</v>
      </c>
      <c r="X22" s="52" t="b">
        <f>OR(NOT(ISBLANK(Transation[[#This Row],[Jr-Dr]])),NOT(ISBLANK(Transation[[#This Row],[Jr-Cr]])))</f>
        <v>0</v>
      </c>
      <c r="Y22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2" s="53">
        <f>IF(ISBLANK(Transation[[#This Row],[Date]]),0,Transation[[#This Row],[Date]]-INDEX(Transation[Date],MATCH("Opening",Transation[Reference],0)))</f>
        <v>0</v>
      </c>
    </row>
    <row r="23" spans="4:26" ht="13.8" x14ac:dyDescent="0.25">
      <c r="D23" s="56"/>
      <c r="G23" s="50">
        <f>ROUND(SUM(INDEX(Transation[Receipt (Debit)],1):Transation[[#This Row],[Receipt (Debit)]])-SUM(INDEX(Transation[Payment (Credit)],1):Transation[[#This Row],[Payment (Credit)]]),4)</f>
        <v>0</v>
      </c>
      <c r="H23" s="48"/>
      <c r="K23" s="51">
        <f>ROUND(SUBTOTAL(9,INDEX(Transation[Deposit],1):Transation[[#This Row],[Deposit]])-SUBTOTAL(9,INDEX(Transation[Withdraw],1):Transation[[#This Row],[Withdraw]]),4)</f>
        <v>0</v>
      </c>
      <c r="L23" s="57"/>
      <c r="N23" s="52">
        <f>ROUND(IF(Transation[[#This Row],[Is Contra]],0,Transation[[#This Row],[Payment (Credit)]]+Transation[[#This Row],[Withdraw]]+Transation[[#This Row],[Jr-Dr]]),4)</f>
        <v>0</v>
      </c>
      <c r="O23" s="52">
        <f>ROUND(IF(Transation[[#This Row],[Is Contra]],0,Transation[[#This Row],[Receipt (Debit)]]+Transation[[#This Row],[Deposit]]+Transation[[#This Row],[Jr-Cr]]),4)</f>
        <v>0</v>
      </c>
      <c r="P23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3" s="52" t="str">
        <f>IF(ISBLANK(Transation[[#This Row],[Account Head]]),"",_xlfn.IFNA(INDEX(Tri[IsCredit],MATCH(Transation[[#This Row],[Account Head]],Tri[Account],0)),""))</f>
        <v/>
      </c>
      <c r="R23" s="52" t="b">
        <f>OR(Transation[[#This Row],[Is Contra C&amp;B]:[Is Contra C&amp;J]])</f>
        <v>0</v>
      </c>
      <c r="S23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3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3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3" s="52" t="b">
        <f>OR(NOT(ISBLANK(Transation[[#This Row],[Receipt (Debit)]])),NOT(ISBLANK(Transation[[#This Row],[Payment (Credit)]])))</f>
        <v>0</v>
      </c>
      <c r="W23" s="52" t="b">
        <f>OR(NOT(ISBLANK(Transation[[#This Row],[Deposit]])),NOT(ISBLANK(Transation[[#This Row],[Withdraw]])))</f>
        <v>0</v>
      </c>
      <c r="X23" s="52" t="b">
        <f>OR(NOT(ISBLANK(Transation[[#This Row],[Jr-Dr]])),NOT(ISBLANK(Transation[[#This Row],[Jr-Cr]])))</f>
        <v>0</v>
      </c>
      <c r="Y23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3" s="53">
        <f>IF(ISBLANK(Transation[[#This Row],[Date]]),0,Transation[[#This Row],[Date]]-INDEX(Transation[Date],MATCH("Opening",Transation[Reference],0)))</f>
        <v>0</v>
      </c>
    </row>
    <row r="24" spans="4:26" ht="13.8" x14ac:dyDescent="0.25">
      <c r="D24" s="56"/>
      <c r="G24" s="50">
        <f>ROUND(SUM(INDEX(Transation[Receipt (Debit)],1):Transation[[#This Row],[Receipt (Debit)]])-SUM(INDEX(Transation[Payment (Credit)],1):Transation[[#This Row],[Payment (Credit)]]),4)</f>
        <v>0</v>
      </c>
      <c r="H24" s="48"/>
      <c r="K24" s="51">
        <f>ROUND(SUBTOTAL(9,INDEX(Transation[Deposit],1):Transation[[#This Row],[Deposit]])-SUBTOTAL(9,INDEX(Transation[Withdraw],1):Transation[[#This Row],[Withdraw]]),4)</f>
        <v>0</v>
      </c>
      <c r="L24" s="57"/>
      <c r="N24" s="52">
        <f>ROUND(IF(Transation[[#This Row],[Is Contra]],0,Transation[[#This Row],[Payment (Credit)]]+Transation[[#This Row],[Withdraw]]+Transation[[#This Row],[Jr-Dr]]),4)</f>
        <v>0</v>
      </c>
      <c r="O24" s="52">
        <f>ROUND(IF(Transation[[#This Row],[Is Contra]],0,Transation[[#This Row],[Receipt (Debit)]]+Transation[[#This Row],[Deposit]]+Transation[[#This Row],[Jr-Cr]]),4)</f>
        <v>0</v>
      </c>
      <c r="P24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4" s="52" t="str">
        <f>IF(ISBLANK(Transation[[#This Row],[Account Head]]),"",_xlfn.IFNA(INDEX(Tri[IsCredit],MATCH(Transation[[#This Row],[Account Head]],Tri[Account],0)),""))</f>
        <v/>
      </c>
      <c r="R24" s="52" t="b">
        <f>OR(Transation[[#This Row],[Is Contra C&amp;B]:[Is Contra C&amp;J]])</f>
        <v>0</v>
      </c>
      <c r="S24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4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4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4" s="52" t="b">
        <f>OR(NOT(ISBLANK(Transation[[#This Row],[Receipt (Debit)]])),NOT(ISBLANK(Transation[[#This Row],[Payment (Credit)]])))</f>
        <v>0</v>
      </c>
      <c r="W24" s="52" t="b">
        <f>OR(NOT(ISBLANK(Transation[[#This Row],[Deposit]])),NOT(ISBLANK(Transation[[#This Row],[Withdraw]])))</f>
        <v>0</v>
      </c>
      <c r="X24" s="52" t="b">
        <f>OR(NOT(ISBLANK(Transation[[#This Row],[Jr-Dr]])),NOT(ISBLANK(Transation[[#This Row],[Jr-Cr]])))</f>
        <v>0</v>
      </c>
      <c r="Y24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4" s="53">
        <f>IF(ISBLANK(Transation[[#This Row],[Date]]),0,Transation[[#This Row],[Date]]-INDEX(Transation[Date],MATCH("Opening",Transation[Reference],0)))</f>
        <v>0</v>
      </c>
    </row>
    <row r="25" spans="4:26" ht="13.8" x14ac:dyDescent="0.25">
      <c r="D25" s="56"/>
      <c r="G25" s="50">
        <f>ROUND(SUM(INDEX(Transation[Receipt (Debit)],1):Transation[[#This Row],[Receipt (Debit)]])-SUM(INDEX(Transation[Payment (Credit)],1):Transation[[#This Row],[Payment (Credit)]]),4)</f>
        <v>0</v>
      </c>
      <c r="H25" s="48"/>
      <c r="K25" s="51">
        <f>ROUND(SUBTOTAL(9,INDEX(Transation[Deposit],1):Transation[[#This Row],[Deposit]])-SUBTOTAL(9,INDEX(Transation[Withdraw],1):Transation[[#This Row],[Withdraw]]),4)</f>
        <v>0</v>
      </c>
      <c r="L25" s="57"/>
      <c r="N25" s="52">
        <f>ROUND(IF(Transation[[#This Row],[Is Contra]],0,Transation[[#This Row],[Payment (Credit)]]+Transation[[#This Row],[Withdraw]]+Transation[[#This Row],[Jr-Dr]]),4)</f>
        <v>0</v>
      </c>
      <c r="O25" s="52">
        <f>ROUND(IF(Transation[[#This Row],[Is Contra]],0,Transation[[#This Row],[Receipt (Debit)]]+Transation[[#This Row],[Deposit]]+Transation[[#This Row],[Jr-Cr]]),4)</f>
        <v>0</v>
      </c>
      <c r="P25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5" s="52" t="str">
        <f>IF(ISBLANK(Transation[[#This Row],[Account Head]]),"",_xlfn.IFNA(INDEX(Tri[IsCredit],MATCH(Transation[[#This Row],[Account Head]],Tri[Account],0)),""))</f>
        <v/>
      </c>
      <c r="R25" s="52" t="b">
        <f>OR(Transation[[#This Row],[Is Contra C&amp;B]:[Is Contra C&amp;J]])</f>
        <v>0</v>
      </c>
      <c r="S25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5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5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5" s="52" t="b">
        <f>OR(NOT(ISBLANK(Transation[[#This Row],[Receipt (Debit)]])),NOT(ISBLANK(Transation[[#This Row],[Payment (Credit)]])))</f>
        <v>0</v>
      </c>
      <c r="W25" s="52" t="b">
        <f>OR(NOT(ISBLANK(Transation[[#This Row],[Deposit]])),NOT(ISBLANK(Transation[[#This Row],[Withdraw]])))</f>
        <v>0</v>
      </c>
      <c r="X25" s="52" t="b">
        <f>OR(NOT(ISBLANK(Transation[[#This Row],[Jr-Dr]])),NOT(ISBLANK(Transation[[#This Row],[Jr-Cr]])))</f>
        <v>0</v>
      </c>
      <c r="Y25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5" s="53">
        <f>IF(ISBLANK(Transation[[#This Row],[Date]]),0,Transation[[#This Row],[Date]]-INDEX(Transation[Date],MATCH("Opening",Transation[Reference],0)))</f>
        <v>0</v>
      </c>
    </row>
    <row r="26" spans="4:26" ht="13.8" x14ac:dyDescent="0.25">
      <c r="D26" s="56"/>
      <c r="G26" s="50">
        <f>ROUND(SUM(INDEX(Transation[Receipt (Debit)],1):Transation[[#This Row],[Receipt (Debit)]])-SUM(INDEX(Transation[Payment (Credit)],1):Transation[[#This Row],[Payment (Credit)]]),4)</f>
        <v>0</v>
      </c>
      <c r="H26" s="48"/>
      <c r="K26" s="51">
        <f>ROUND(SUBTOTAL(9,INDEX(Transation[Deposit],1):Transation[[#This Row],[Deposit]])-SUBTOTAL(9,INDEX(Transation[Withdraw],1):Transation[[#This Row],[Withdraw]]),4)</f>
        <v>0</v>
      </c>
      <c r="L26" s="57"/>
      <c r="N26" s="52">
        <f>ROUND(IF(Transation[[#This Row],[Is Contra]],0,Transation[[#This Row],[Payment (Credit)]]+Transation[[#This Row],[Withdraw]]+Transation[[#This Row],[Jr-Dr]]),4)</f>
        <v>0</v>
      </c>
      <c r="O26" s="52">
        <f>ROUND(IF(Transation[[#This Row],[Is Contra]],0,Transation[[#This Row],[Receipt (Debit)]]+Transation[[#This Row],[Deposit]]+Transation[[#This Row],[Jr-Cr]]),4)</f>
        <v>0</v>
      </c>
      <c r="P26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6" s="52" t="str">
        <f>IF(ISBLANK(Transation[[#This Row],[Account Head]]),"",_xlfn.IFNA(INDEX(Tri[IsCredit],MATCH(Transation[[#This Row],[Account Head]],Tri[Account],0)),""))</f>
        <v/>
      </c>
      <c r="R26" s="52" t="b">
        <f>OR(Transation[[#This Row],[Is Contra C&amp;B]:[Is Contra C&amp;J]])</f>
        <v>0</v>
      </c>
      <c r="S26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6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6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6" s="52" t="b">
        <f>OR(NOT(ISBLANK(Transation[[#This Row],[Receipt (Debit)]])),NOT(ISBLANK(Transation[[#This Row],[Payment (Credit)]])))</f>
        <v>0</v>
      </c>
      <c r="W26" s="52" t="b">
        <f>OR(NOT(ISBLANK(Transation[[#This Row],[Deposit]])),NOT(ISBLANK(Transation[[#This Row],[Withdraw]])))</f>
        <v>0</v>
      </c>
      <c r="X26" s="52" t="b">
        <f>OR(NOT(ISBLANK(Transation[[#This Row],[Jr-Dr]])),NOT(ISBLANK(Transation[[#This Row],[Jr-Cr]])))</f>
        <v>0</v>
      </c>
      <c r="Y26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6" s="53">
        <f>IF(ISBLANK(Transation[[#This Row],[Date]]),0,Transation[[#This Row],[Date]]-INDEX(Transation[Date],MATCH("Opening",Transation[Reference],0)))</f>
        <v>0</v>
      </c>
    </row>
    <row r="27" spans="4:26" ht="13.8" x14ac:dyDescent="0.25">
      <c r="D27" s="56"/>
      <c r="G27" s="50">
        <f>ROUND(SUM(INDEX(Transation[Receipt (Debit)],1):Transation[[#This Row],[Receipt (Debit)]])-SUM(INDEX(Transation[Payment (Credit)],1):Transation[[#This Row],[Payment (Credit)]]),4)</f>
        <v>0</v>
      </c>
      <c r="H27" s="48"/>
      <c r="K27" s="51">
        <f>ROUND(SUBTOTAL(9,INDEX(Transation[Deposit],1):Transation[[#This Row],[Deposit]])-SUBTOTAL(9,INDEX(Transation[Withdraw],1):Transation[[#This Row],[Withdraw]]),4)</f>
        <v>0</v>
      </c>
      <c r="L27" s="57"/>
      <c r="N27" s="52">
        <f>ROUND(IF(Transation[[#This Row],[Is Contra]],0,Transation[[#This Row],[Payment (Credit)]]+Transation[[#This Row],[Withdraw]]+Transation[[#This Row],[Jr-Dr]]),4)</f>
        <v>0</v>
      </c>
      <c r="O27" s="52">
        <f>ROUND(IF(Transation[[#This Row],[Is Contra]],0,Transation[[#This Row],[Receipt (Debit)]]+Transation[[#This Row],[Deposit]]+Transation[[#This Row],[Jr-Cr]]),4)</f>
        <v>0</v>
      </c>
      <c r="P27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7" s="52" t="str">
        <f>IF(ISBLANK(Transation[[#This Row],[Account Head]]),"",_xlfn.IFNA(INDEX(Tri[IsCredit],MATCH(Transation[[#This Row],[Account Head]],Tri[Account],0)),""))</f>
        <v/>
      </c>
      <c r="R27" s="52" t="b">
        <f>OR(Transation[[#This Row],[Is Contra C&amp;B]:[Is Contra C&amp;J]])</f>
        <v>0</v>
      </c>
      <c r="S27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7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7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7" s="52" t="b">
        <f>OR(NOT(ISBLANK(Transation[[#This Row],[Receipt (Debit)]])),NOT(ISBLANK(Transation[[#This Row],[Payment (Credit)]])))</f>
        <v>0</v>
      </c>
      <c r="W27" s="52" t="b">
        <f>OR(NOT(ISBLANK(Transation[[#This Row],[Deposit]])),NOT(ISBLANK(Transation[[#This Row],[Withdraw]])))</f>
        <v>0</v>
      </c>
      <c r="X27" s="52" t="b">
        <f>OR(NOT(ISBLANK(Transation[[#This Row],[Jr-Dr]])),NOT(ISBLANK(Transation[[#This Row],[Jr-Cr]])))</f>
        <v>0</v>
      </c>
      <c r="Y27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7" s="53">
        <f>IF(ISBLANK(Transation[[#This Row],[Date]]),0,Transation[[#This Row],[Date]]-INDEX(Transation[Date],MATCH("Opening",Transation[Reference],0)))</f>
        <v>0</v>
      </c>
    </row>
    <row r="28" spans="4:26" ht="13.8" x14ac:dyDescent="0.25">
      <c r="D28" s="56"/>
      <c r="G28" s="50">
        <f>ROUND(SUM(INDEX(Transation[Receipt (Debit)],1):Transation[[#This Row],[Receipt (Debit)]])-SUM(INDEX(Transation[Payment (Credit)],1):Transation[[#This Row],[Payment (Credit)]]),4)</f>
        <v>0</v>
      </c>
      <c r="H28" s="48"/>
      <c r="K28" s="51">
        <f>ROUND(SUBTOTAL(9,INDEX(Transation[Deposit],1):Transation[[#This Row],[Deposit]])-SUBTOTAL(9,INDEX(Transation[Withdraw],1):Transation[[#This Row],[Withdraw]]),4)</f>
        <v>0</v>
      </c>
      <c r="L28" s="57"/>
      <c r="N28" s="52">
        <f>ROUND(IF(Transation[[#This Row],[Is Contra]],0,Transation[[#This Row],[Payment (Credit)]]+Transation[[#This Row],[Withdraw]]+Transation[[#This Row],[Jr-Dr]]),4)</f>
        <v>0</v>
      </c>
      <c r="O28" s="52">
        <f>ROUND(IF(Transation[[#This Row],[Is Contra]],0,Transation[[#This Row],[Receipt (Debit)]]+Transation[[#This Row],[Deposit]]+Transation[[#This Row],[Jr-Cr]]),4)</f>
        <v>0</v>
      </c>
      <c r="P28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8" s="52" t="str">
        <f>IF(ISBLANK(Transation[[#This Row],[Account Head]]),"",_xlfn.IFNA(INDEX(Tri[IsCredit],MATCH(Transation[[#This Row],[Account Head]],Tri[Account],0)),""))</f>
        <v/>
      </c>
      <c r="R28" s="52" t="b">
        <f>OR(Transation[[#This Row],[Is Contra C&amp;B]:[Is Contra C&amp;J]])</f>
        <v>0</v>
      </c>
      <c r="S28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8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8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8" s="52" t="b">
        <f>OR(NOT(ISBLANK(Transation[[#This Row],[Receipt (Debit)]])),NOT(ISBLANK(Transation[[#This Row],[Payment (Credit)]])))</f>
        <v>0</v>
      </c>
      <c r="W28" s="52" t="b">
        <f>OR(NOT(ISBLANK(Transation[[#This Row],[Deposit]])),NOT(ISBLANK(Transation[[#This Row],[Withdraw]])))</f>
        <v>0</v>
      </c>
      <c r="X28" s="52" t="b">
        <f>OR(NOT(ISBLANK(Transation[[#This Row],[Jr-Dr]])),NOT(ISBLANK(Transation[[#This Row],[Jr-Cr]])))</f>
        <v>0</v>
      </c>
      <c r="Y28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8" s="53">
        <f>IF(ISBLANK(Transation[[#This Row],[Date]]),0,Transation[[#This Row],[Date]]-INDEX(Transation[Date],MATCH("Opening",Transation[Reference],0)))</f>
        <v>0</v>
      </c>
    </row>
    <row r="29" spans="4:26" ht="13.8" x14ac:dyDescent="0.25">
      <c r="D29" s="56"/>
      <c r="G29" s="50">
        <f>ROUND(SUM(INDEX(Transation[Receipt (Debit)],1):Transation[[#This Row],[Receipt (Debit)]])-SUM(INDEX(Transation[Payment (Credit)],1):Transation[[#This Row],[Payment (Credit)]]),4)</f>
        <v>0</v>
      </c>
      <c r="H29" s="48"/>
      <c r="K29" s="51">
        <f>ROUND(SUBTOTAL(9,INDEX(Transation[Deposit],1):Transation[[#This Row],[Deposit]])-SUBTOTAL(9,INDEX(Transation[Withdraw],1):Transation[[#This Row],[Withdraw]]),4)</f>
        <v>0</v>
      </c>
      <c r="L29" s="57"/>
      <c r="N29" s="52">
        <f>ROUND(IF(Transation[[#This Row],[Is Contra]],0,Transation[[#This Row],[Payment (Credit)]]+Transation[[#This Row],[Withdraw]]+Transation[[#This Row],[Jr-Dr]]),4)</f>
        <v>0</v>
      </c>
      <c r="O29" s="52">
        <f>ROUND(IF(Transation[[#This Row],[Is Contra]],0,Transation[[#This Row],[Receipt (Debit)]]+Transation[[#This Row],[Deposit]]+Transation[[#This Row],[Jr-Cr]]),4)</f>
        <v>0</v>
      </c>
      <c r="P29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29" s="52" t="str">
        <f>IF(ISBLANK(Transation[[#This Row],[Account Head]]),"",_xlfn.IFNA(INDEX(Tri[IsCredit],MATCH(Transation[[#This Row],[Account Head]],Tri[Account],0)),""))</f>
        <v/>
      </c>
      <c r="R29" s="52" t="b">
        <f>OR(Transation[[#This Row],[Is Contra C&amp;B]:[Is Contra C&amp;J]])</f>
        <v>0</v>
      </c>
      <c r="S29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29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29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29" s="52" t="b">
        <f>OR(NOT(ISBLANK(Transation[[#This Row],[Receipt (Debit)]])),NOT(ISBLANK(Transation[[#This Row],[Payment (Credit)]])))</f>
        <v>0</v>
      </c>
      <c r="W29" s="52" t="b">
        <f>OR(NOT(ISBLANK(Transation[[#This Row],[Deposit]])),NOT(ISBLANK(Transation[[#This Row],[Withdraw]])))</f>
        <v>0</v>
      </c>
      <c r="X29" s="52" t="b">
        <f>OR(NOT(ISBLANK(Transation[[#This Row],[Jr-Dr]])),NOT(ISBLANK(Transation[[#This Row],[Jr-Cr]])))</f>
        <v>0</v>
      </c>
      <c r="Y29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29" s="53">
        <f>IF(ISBLANK(Transation[[#This Row],[Date]]),0,Transation[[#This Row],[Date]]-INDEX(Transation[Date],MATCH("Opening",Transation[Reference],0)))</f>
        <v>0</v>
      </c>
    </row>
    <row r="30" spans="4:26" ht="13.8" x14ac:dyDescent="0.25">
      <c r="D30" s="56"/>
      <c r="G30" s="50">
        <f>ROUND(SUM(INDEX(Transation[Receipt (Debit)],1):Transation[[#This Row],[Receipt (Debit)]])-SUM(INDEX(Transation[Payment (Credit)],1):Transation[[#This Row],[Payment (Credit)]]),4)</f>
        <v>0</v>
      </c>
      <c r="H30" s="48"/>
      <c r="K30" s="51">
        <f>ROUND(SUBTOTAL(9,INDEX(Transation[Deposit],1):Transation[[#This Row],[Deposit]])-SUBTOTAL(9,INDEX(Transation[Withdraw],1):Transation[[#This Row],[Withdraw]]),4)</f>
        <v>0</v>
      </c>
      <c r="L30" s="57"/>
      <c r="N30" s="52">
        <f>ROUND(IF(Transation[[#This Row],[Is Contra]],0,Transation[[#This Row],[Payment (Credit)]]+Transation[[#This Row],[Withdraw]]+Transation[[#This Row],[Jr-Dr]]),4)</f>
        <v>0</v>
      </c>
      <c r="O30" s="52">
        <f>ROUND(IF(Transation[[#This Row],[Is Contra]],0,Transation[[#This Row],[Receipt (Debit)]]+Transation[[#This Row],[Deposit]]+Transation[[#This Row],[Jr-Cr]]),4)</f>
        <v>0</v>
      </c>
      <c r="P30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0" s="52" t="str">
        <f>IF(ISBLANK(Transation[[#This Row],[Account Head]]),"",_xlfn.IFNA(INDEX(Tri[IsCredit],MATCH(Transation[[#This Row],[Account Head]],Tri[Account],0)),""))</f>
        <v/>
      </c>
      <c r="R30" s="52" t="b">
        <f>OR(Transation[[#This Row],[Is Contra C&amp;B]:[Is Contra C&amp;J]])</f>
        <v>0</v>
      </c>
      <c r="S30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0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0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0" s="52" t="b">
        <f>OR(NOT(ISBLANK(Transation[[#This Row],[Receipt (Debit)]])),NOT(ISBLANK(Transation[[#This Row],[Payment (Credit)]])))</f>
        <v>0</v>
      </c>
      <c r="W30" s="52" t="b">
        <f>OR(NOT(ISBLANK(Transation[[#This Row],[Deposit]])),NOT(ISBLANK(Transation[[#This Row],[Withdraw]])))</f>
        <v>0</v>
      </c>
      <c r="X30" s="52" t="b">
        <f>OR(NOT(ISBLANK(Transation[[#This Row],[Jr-Dr]])),NOT(ISBLANK(Transation[[#This Row],[Jr-Cr]])))</f>
        <v>0</v>
      </c>
      <c r="Y30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0" s="53">
        <f>IF(ISBLANK(Transation[[#This Row],[Date]]),0,Transation[[#This Row],[Date]]-INDEX(Transation[Date],MATCH("Opening",Transation[Reference],0)))</f>
        <v>0</v>
      </c>
    </row>
    <row r="31" spans="4:26" ht="13.8" x14ac:dyDescent="0.25">
      <c r="D31" s="56"/>
      <c r="G31" s="50">
        <f>ROUND(SUM(INDEX(Transation[Receipt (Debit)],1):Transation[[#This Row],[Receipt (Debit)]])-SUM(INDEX(Transation[Payment (Credit)],1):Transation[[#This Row],[Payment (Credit)]]),4)</f>
        <v>0</v>
      </c>
      <c r="H31" s="48"/>
      <c r="K31" s="51">
        <f>ROUND(SUBTOTAL(9,INDEX(Transation[Deposit],1):Transation[[#This Row],[Deposit]])-SUBTOTAL(9,INDEX(Transation[Withdraw],1):Transation[[#This Row],[Withdraw]]),4)</f>
        <v>0</v>
      </c>
      <c r="L31" s="57"/>
      <c r="N31" s="52">
        <f>ROUND(IF(Transation[[#This Row],[Is Contra]],0,Transation[[#This Row],[Payment (Credit)]]+Transation[[#This Row],[Withdraw]]+Transation[[#This Row],[Jr-Dr]]),4)</f>
        <v>0</v>
      </c>
      <c r="O31" s="52">
        <f>ROUND(IF(Transation[[#This Row],[Is Contra]],0,Transation[[#This Row],[Receipt (Debit)]]+Transation[[#This Row],[Deposit]]+Transation[[#This Row],[Jr-Cr]]),4)</f>
        <v>0</v>
      </c>
      <c r="P31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1" s="52" t="str">
        <f>IF(ISBLANK(Transation[[#This Row],[Account Head]]),"",_xlfn.IFNA(INDEX(Tri[IsCredit],MATCH(Transation[[#This Row],[Account Head]],Tri[Account],0)),""))</f>
        <v/>
      </c>
      <c r="R31" s="52" t="b">
        <f>OR(Transation[[#This Row],[Is Contra C&amp;B]:[Is Contra C&amp;J]])</f>
        <v>0</v>
      </c>
      <c r="S31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1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1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1" s="52" t="b">
        <f>OR(NOT(ISBLANK(Transation[[#This Row],[Receipt (Debit)]])),NOT(ISBLANK(Transation[[#This Row],[Payment (Credit)]])))</f>
        <v>0</v>
      </c>
      <c r="W31" s="52" t="b">
        <f>OR(NOT(ISBLANK(Transation[[#This Row],[Deposit]])),NOT(ISBLANK(Transation[[#This Row],[Withdraw]])))</f>
        <v>0</v>
      </c>
      <c r="X31" s="52" t="b">
        <f>OR(NOT(ISBLANK(Transation[[#This Row],[Jr-Dr]])),NOT(ISBLANK(Transation[[#This Row],[Jr-Cr]])))</f>
        <v>0</v>
      </c>
      <c r="Y31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1" s="53">
        <f>IF(ISBLANK(Transation[[#This Row],[Date]]),0,Transation[[#This Row],[Date]]-INDEX(Transation[Date],MATCH("Opening",Transation[Reference],0)))</f>
        <v>0</v>
      </c>
    </row>
    <row r="32" spans="4:26" ht="13.8" x14ac:dyDescent="0.25">
      <c r="D32" s="56"/>
      <c r="G32" s="50">
        <f>ROUND(SUM(INDEX(Transation[Receipt (Debit)],1):Transation[[#This Row],[Receipt (Debit)]])-SUM(INDEX(Transation[Payment (Credit)],1):Transation[[#This Row],[Payment (Credit)]]),4)</f>
        <v>0</v>
      </c>
      <c r="H32" s="48"/>
      <c r="K32" s="51">
        <f>ROUND(SUBTOTAL(9,INDEX(Transation[Deposit],1):Transation[[#This Row],[Deposit]])-SUBTOTAL(9,INDEX(Transation[Withdraw],1):Transation[[#This Row],[Withdraw]]),4)</f>
        <v>0</v>
      </c>
      <c r="L32" s="57"/>
      <c r="N32" s="52">
        <f>ROUND(IF(Transation[[#This Row],[Is Contra]],0,Transation[[#This Row],[Payment (Credit)]]+Transation[[#This Row],[Withdraw]]+Transation[[#This Row],[Jr-Dr]]),4)</f>
        <v>0</v>
      </c>
      <c r="O32" s="52">
        <f>ROUND(IF(Transation[[#This Row],[Is Contra]],0,Transation[[#This Row],[Receipt (Debit)]]+Transation[[#This Row],[Deposit]]+Transation[[#This Row],[Jr-Cr]]),4)</f>
        <v>0</v>
      </c>
      <c r="P32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2" s="52" t="str">
        <f>IF(ISBLANK(Transation[[#This Row],[Account Head]]),"",_xlfn.IFNA(INDEX(Tri[IsCredit],MATCH(Transation[[#This Row],[Account Head]],Tri[Account],0)),""))</f>
        <v/>
      </c>
      <c r="R32" s="52" t="b">
        <f>OR(Transation[[#This Row],[Is Contra C&amp;B]:[Is Contra C&amp;J]])</f>
        <v>0</v>
      </c>
      <c r="S32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2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2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2" s="52" t="b">
        <f>OR(NOT(ISBLANK(Transation[[#This Row],[Receipt (Debit)]])),NOT(ISBLANK(Transation[[#This Row],[Payment (Credit)]])))</f>
        <v>0</v>
      </c>
      <c r="W32" s="52" t="b">
        <f>OR(NOT(ISBLANK(Transation[[#This Row],[Deposit]])),NOT(ISBLANK(Transation[[#This Row],[Withdraw]])))</f>
        <v>0</v>
      </c>
      <c r="X32" s="52" t="b">
        <f>OR(NOT(ISBLANK(Transation[[#This Row],[Jr-Dr]])),NOT(ISBLANK(Transation[[#This Row],[Jr-Cr]])))</f>
        <v>0</v>
      </c>
      <c r="Y32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2" s="53">
        <f>IF(ISBLANK(Transation[[#This Row],[Date]]),0,Transation[[#This Row],[Date]]-INDEX(Transation[Date],MATCH("Opening",Transation[Reference],0)))</f>
        <v>0</v>
      </c>
    </row>
    <row r="33" spans="1:26" ht="13.8" x14ac:dyDescent="0.25">
      <c r="D33" s="56"/>
      <c r="G33" s="50">
        <f>ROUND(SUM(INDEX(Transation[Receipt (Debit)],1):Transation[[#This Row],[Receipt (Debit)]])-SUM(INDEX(Transation[Payment (Credit)],1):Transation[[#This Row],[Payment (Credit)]]),4)</f>
        <v>0</v>
      </c>
      <c r="H33" s="48"/>
      <c r="K33" s="51">
        <f>ROUND(SUBTOTAL(9,INDEX(Transation[Deposit],1):Transation[[#This Row],[Deposit]])-SUBTOTAL(9,INDEX(Transation[Withdraw],1):Transation[[#This Row],[Withdraw]]),4)</f>
        <v>0</v>
      </c>
      <c r="L33" s="57"/>
      <c r="N33" s="52">
        <f>ROUND(IF(Transation[[#This Row],[Is Contra]],0,Transation[[#This Row],[Payment (Credit)]]+Transation[[#This Row],[Withdraw]]+Transation[[#This Row],[Jr-Dr]]),4)</f>
        <v>0</v>
      </c>
      <c r="O33" s="52">
        <f>ROUND(IF(Transation[[#This Row],[Is Contra]],0,Transation[[#This Row],[Receipt (Debit)]]+Transation[[#This Row],[Deposit]]+Transation[[#This Row],[Jr-Cr]]),4)</f>
        <v>0</v>
      </c>
      <c r="P33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3" s="52" t="str">
        <f>IF(ISBLANK(Transation[[#This Row],[Account Head]]),"",_xlfn.IFNA(INDEX(Tri[IsCredit],MATCH(Transation[[#This Row],[Account Head]],Tri[Account],0)),""))</f>
        <v/>
      </c>
      <c r="R33" s="52" t="b">
        <f>OR(Transation[[#This Row],[Is Contra C&amp;B]:[Is Contra C&amp;J]])</f>
        <v>0</v>
      </c>
      <c r="S33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3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3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3" s="52" t="b">
        <f>OR(NOT(ISBLANK(Transation[[#This Row],[Receipt (Debit)]])),NOT(ISBLANK(Transation[[#This Row],[Payment (Credit)]])))</f>
        <v>0</v>
      </c>
      <c r="W33" s="52" t="b">
        <f>OR(NOT(ISBLANK(Transation[[#This Row],[Deposit]])),NOT(ISBLANK(Transation[[#This Row],[Withdraw]])))</f>
        <v>0</v>
      </c>
      <c r="X33" s="52" t="b">
        <f>OR(NOT(ISBLANK(Transation[[#This Row],[Jr-Dr]])),NOT(ISBLANK(Transation[[#This Row],[Jr-Cr]])))</f>
        <v>0</v>
      </c>
      <c r="Y33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3" s="53">
        <f>IF(ISBLANK(Transation[[#This Row],[Date]]),0,Transation[[#This Row],[Date]]-INDEX(Transation[Date],MATCH("Opening",Transation[Reference],0)))</f>
        <v>0</v>
      </c>
    </row>
    <row r="34" spans="1:26" ht="13.8" x14ac:dyDescent="0.25">
      <c r="D34" s="56"/>
      <c r="G34" s="50">
        <f>ROUND(SUM(INDEX(Transation[Receipt (Debit)],1):Transation[[#This Row],[Receipt (Debit)]])-SUM(INDEX(Transation[Payment (Credit)],1):Transation[[#This Row],[Payment (Credit)]]),4)</f>
        <v>0</v>
      </c>
      <c r="H34" s="48"/>
      <c r="K34" s="51">
        <f>ROUND(SUBTOTAL(9,INDEX(Transation[Deposit],1):Transation[[#This Row],[Deposit]])-SUBTOTAL(9,INDEX(Transation[Withdraw],1):Transation[[#This Row],[Withdraw]]),4)</f>
        <v>0</v>
      </c>
      <c r="L34" s="57"/>
      <c r="N34" s="52">
        <f>ROUND(IF(Transation[[#This Row],[Is Contra]],0,Transation[[#This Row],[Payment (Credit)]]+Transation[[#This Row],[Withdraw]]+Transation[[#This Row],[Jr-Dr]]),4)</f>
        <v>0</v>
      </c>
      <c r="O34" s="52">
        <f>ROUND(IF(Transation[[#This Row],[Is Contra]],0,Transation[[#This Row],[Receipt (Debit)]]+Transation[[#This Row],[Deposit]]+Transation[[#This Row],[Jr-Cr]]),4)</f>
        <v>0</v>
      </c>
      <c r="P34" s="52">
        <f>ROUND(IFERROR((SUMIF(INDEX(Transation[Account Head],1):Transation[[#This Row],[Account Head]],Transation[[#This Row],[Account Head]],INDEX(Transation[Debit],1):Transation[[#This Row],[Debit]])-SUMIF(INDEX(Transation[Account Head],1):Transation[[#This Row],[Account Head]],Transation[[#This Row],[Account Head]],INDEX(Transation[Credit],1):Transation[[#This Row],[Credit]]))*IF(Transation[[#This Row],[Is Credit]],-1,1),0),4)</f>
        <v>0</v>
      </c>
      <c r="Q34" s="52" t="str">
        <f>IF(ISBLANK(Transation[[#This Row],[Account Head]]),"",_xlfn.IFNA(INDEX(Tri[IsCredit],MATCH(Transation[[#This Row],[Account Head]],Tri[Account],0)),""))</f>
        <v/>
      </c>
      <c r="R34" s="52" t="b">
        <f>OR(Transation[[#This Row],[Is Contra C&amp;B]:[Is Contra C&amp;J]])</f>
        <v>0</v>
      </c>
      <c r="S34" s="52" t="b">
        <f>IF(AND(Transation[[#This Row],[Cash Transation]],Transation[[#This Row],[Bank Transation]]),AND(Transation[[#This Row],[Receipt (Debit)]]=Transation[[#This Row],[Withdraw]],Transation[[#This Row],[Payment (Credit)]]=Transation[[#This Row],[Deposit]]))</f>
        <v>0</v>
      </c>
      <c r="T34" s="52" t="b">
        <f>IF(AND(Transation[[#This Row],[Bank Transation]],Transation[[#This Row],[Jr Transation]]),AND(Transation[[#This Row],[Withdraw]]=Transation[[#This Row],[Jr-Cr]],Transation[[#This Row],[Deposit]]=Transation[[#This Row],[Jr-Dr]]))</f>
        <v>0</v>
      </c>
      <c r="U34" s="52" t="b">
        <f>IF(AND(Transation[[#This Row],[Cash Transation]],Transation[[#This Row],[Jr Transation]]),AND(Transation[[#This Row],[Payment (Credit)]]=Transation[[#This Row],[Jr-Cr]],Transation[[#This Row],[Receipt (Debit)]]=Transation[[#This Row],[Jr-Dr]]))</f>
        <v>0</v>
      </c>
      <c r="V34" s="52" t="b">
        <f>OR(NOT(ISBLANK(Transation[[#This Row],[Receipt (Debit)]])),NOT(ISBLANK(Transation[[#This Row],[Payment (Credit)]])))</f>
        <v>0</v>
      </c>
      <c r="W34" s="52" t="b">
        <f>OR(NOT(ISBLANK(Transation[[#This Row],[Deposit]])),NOT(ISBLANK(Transation[[#This Row],[Withdraw]])))</f>
        <v>0</v>
      </c>
      <c r="X34" s="52" t="b">
        <f>OR(NOT(ISBLANK(Transation[[#This Row],[Jr-Dr]])),NOT(ISBLANK(Transation[[#This Row],[Jr-Cr]])))</f>
        <v>0</v>
      </c>
      <c r="Y34" s="52" t="b">
        <f>OR(IF(NOT(Transation[[#This Row],[Is Contra]]),OR(AND(Transation[[#This Row],[Cash Transation]],Transation[[#This Row],[Bank Transation]]),AND(Transation[[#This Row],[Bank Transation]],Transation[[#This Row],[Jr Transation]]),AND(Transation[[#This Row],[Cash Transation]],Transation[[#This Row],[Jr Transation]])),FALSE),OR(AND(NOT(ISBLANK(Transation[[#This Row],[Receipt (Debit)]])),NOT(ISBLANK(Transation[[#This Row],[Payment (Credit)]]))),AND(NOT(ISBLANK(Transation[[#This Row],[Deposit]])),NOT(ISBLANK(Transation[[#This Row],[Withdraw]]))),AND(NOT(ISBLANK(Transation[[#This Row],[Jr-Dr]])),NOT(ISBLANK(Transation[[#This Row],[Jr-Cr]])))),AND(Transation[[#This Row],[Cash Transation]],Transation[[#This Row],[Bank Transation]],Transation[[#This Row],[Jr Transation]]))</f>
        <v>0</v>
      </c>
      <c r="Z34" s="53">
        <f>IF(ISBLANK(Transation[[#This Row],[Date]]),0,Transation[[#This Row],[Date]]-INDEX(Transation[Date],MATCH("Opening",Transation[Reference],0)))</f>
        <v>0</v>
      </c>
    </row>
    <row r="35" spans="1:26" ht="13.8" x14ac:dyDescent="0.25">
      <c r="A35" s="58" t="s">
        <v>31</v>
      </c>
      <c r="B35" s="59"/>
      <c r="C35" s="59"/>
      <c r="D35" s="59"/>
      <c r="E35" s="60">
        <f>SUBTOTAL(109,Transation[Receipt (Debit)])</f>
        <v>0</v>
      </c>
      <c r="F35" s="60">
        <f>SUBTOTAL(109,Transation[Payment (Credit)])</f>
        <v>0</v>
      </c>
      <c r="G35" s="61">
        <f>ROUND(Transation[[#Totals],[Receipt (Debit)]]-Transation[[#Totals],[Payment (Credit)]],4)</f>
        <v>0</v>
      </c>
      <c r="H35" s="59"/>
      <c r="I35" s="60">
        <f>SUBTOTAL(109,Transation[Deposit])</f>
        <v>0</v>
      </c>
      <c r="J35" s="60">
        <f>SUBTOTAL(109,Transation[Withdraw])</f>
        <v>0</v>
      </c>
      <c r="K35" s="62">
        <f>ROUND(Transation[[#Totals],[Deposit]]-Transation[[#Totals],[Withdraw]],4)</f>
        <v>0</v>
      </c>
      <c r="L35" s="60">
        <f>SUBTOTAL(109,Transation[Jr-Dr])</f>
        <v>0</v>
      </c>
      <c r="M35" s="60">
        <f>SUBTOTAL(109,Transation[Jr-Cr])</f>
        <v>0</v>
      </c>
      <c r="N35" s="70">
        <f>SUBTOTAL(109,Transation[Debit])</f>
        <v>0</v>
      </c>
      <c r="O35" s="70">
        <f>SUBTOTAL(109,Transation[Credit])</f>
        <v>0</v>
      </c>
      <c r="P35" s="70">
        <f>ROUND(Transation[[#Totals],[Debit]]-Transation[[#Totals],[Credit]],4)</f>
        <v>0</v>
      </c>
      <c r="Q35" s="70">
        <f>Transation[[#Totals],[Credit]]-Transation[[#Totals],[Debit]]</f>
        <v>0</v>
      </c>
      <c r="R35" s="70"/>
      <c r="S35" s="70"/>
      <c r="T35" s="70"/>
      <c r="U35" s="70"/>
      <c r="V35" s="70"/>
      <c r="W35" s="70"/>
      <c r="X35" s="70"/>
      <c r="Y35" s="70"/>
      <c r="Z35" s="70"/>
    </row>
    <row r="38" spans="1:26" x14ac:dyDescent="0.3">
      <c r="L38" s="64"/>
      <c r="M38" s="54"/>
    </row>
    <row r="39" spans="1:26" x14ac:dyDescent="0.3">
      <c r="L39" s="64"/>
      <c r="M39" s="54"/>
    </row>
    <row r="40" spans="1:26" x14ac:dyDescent="0.3">
      <c r="L40" s="64"/>
      <c r="M40" s="54"/>
    </row>
    <row r="41" spans="1:26" x14ac:dyDescent="0.3">
      <c r="L41" s="64"/>
      <c r="M41" s="54"/>
    </row>
    <row r="42" spans="1:26" x14ac:dyDescent="0.3">
      <c r="L42" s="54"/>
      <c r="M42" s="54"/>
    </row>
    <row r="43" spans="1:26" x14ac:dyDescent="0.3">
      <c r="L43" s="54"/>
      <c r="M43" s="54"/>
    </row>
    <row r="44" spans="1:26" x14ac:dyDescent="0.3">
      <c r="L44" s="54"/>
      <c r="M44" s="54"/>
    </row>
    <row r="45" spans="1:26" x14ac:dyDescent="0.3">
      <c r="L45" s="54"/>
      <c r="M45" s="54"/>
    </row>
    <row r="46" spans="1:26" x14ac:dyDescent="0.3">
      <c r="L46" s="54"/>
      <c r="M46" s="54"/>
    </row>
    <row r="47" spans="1:26" x14ac:dyDescent="0.3">
      <c r="L47" s="54"/>
      <c r="M47" s="54"/>
    </row>
    <row r="48" spans="1:26" x14ac:dyDescent="0.3">
      <c r="L48" s="54"/>
      <c r="M48" s="54"/>
    </row>
    <row r="49" spans="12:13" x14ac:dyDescent="0.3">
      <c r="L49" s="54"/>
      <c r="M49" s="54"/>
    </row>
    <row r="50" spans="12:13" x14ac:dyDescent="0.3">
      <c r="L50" s="54"/>
      <c r="M50" s="54"/>
    </row>
    <row r="51" spans="12:13" x14ac:dyDescent="0.3">
      <c r="L51" s="54"/>
      <c r="M51" s="54"/>
    </row>
    <row r="52" spans="12:13" x14ac:dyDescent="0.3">
      <c r="L52" s="54"/>
      <c r="M52" s="54"/>
    </row>
    <row r="53" spans="12:13" x14ac:dyDescent="0.3">
      <c r="L53" s="54"/>
      <c r="M53" s="54"/>
    </row>
    <row r="54" spans="12:13" x14ac:dyDescent="0.3">
      <c r="L54" s="54"/>
      <c r="M54" s="54"/>
    </row>
    <row r="55" spans="12:13" x14ac:dyDescent="0.3">
      <c r="L55" s="54"/>
      <c r="M55" s="54"/>
    </row>
    <row r="56" spans="12:13" x14ac:dyDescent="0.3">
      <c r="L56" s="54"/>
      <c r="M56" s="54"/>
    </row>
    <row r="57" spans="12:13" x14ac:dyDescent="0.3">
      <c r="L57" s="54"/>
      <c r="M57" s="54"/>
    </row>
    <row r="58" spans="12:13" x14ac:dyDescent="0.3">
      <c r="L58" s="54"/>
      <c r="M58" s="54"/>
    </row>
    <row r="59" spans="12:13" x14ac:dyDescent="0.3">
      <c r="L59" s="54"/>
      <c r="M59" s="54"/>
    </row>
  </sheetData>
  <sheetProtection selectLockedCells="1" selectUnlockedCells="1"/>
  <conditionalFormatting sqref="D2:D1048576">
    <cfRule type="expression" dxfId="134" priority="18">
      <formula>IF(ISBLANK(C2),FALSE,IF(ISBLANK(D2),TRUE,FALSE))</formula>
    </cfRule>
  </conditionalFormatting>
  <conditionalFormatting sqref="E36:F99940 I36:J99940 L36:M99940">
    <cfRule type="expression" dxfId="133" priority="23">
      <formula>$W36</formula>
    </cfRule>
    <cfRule type="expression" dxfId="132" priority="27">
      <formula>NOT(OR(ISNUMBER(E36),ISBLANK(E36)))</formula>
    </cfRule>
  </conditionalFormatting>
  <conditionalFormatting sqref="A2:D1048576">
    <cfRule type="expression" dxfId="131" priority="10">
      <formula>AND(ISBLANK(A2),OR(NOT(ISBLANK($E2)),NOT(ISBLANK($F2)),NOT(ISBLANK($I2)),NOT(ISBLANK($J2)),NOT(ISBLANK($L2)),NOT(ISBLANK($M2))))</formula>
    </cfRule>
  </conditionalFormatting>
  <conditionalFormatting sqref="A36:A1048576">
    <cfRule type="expression" dxfId="130" priority="1">
      <formula>NOT(AND(X36&gt;=0,X36&lt;366))</formula>
    </cfRule>
  </conditionalFormatting>
  <conditionalFormatting sqref="A2:A1048576">
    <cfRule type="expression" dxfId="129" priority="43">
      <formula>NOT(AND(Z2&gt;=0,Z2&lt;366))</formula>
    </cfRule>
  </conditionalFormatting>
  <conditionalFormatting sqref="L2:M1048576 E2:F1048576 I2:J1048576">
    <cfRule type="expression" dxfId="128" priority="30">
      <formula>$Y2</formula>
    </cfRule>
    <cfRule type="expression" dxfId="127" priority="31">
      <formula>NOT(OR(ISNUMBER(E2),ISBLANK(E2)))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6AE0F4AE-5829-4D85-A39E-0662122AF707}">
            <xm:f>_xlfn.IFNA(NOT(OR(ISNUMBER(MATCH(D2,Trial!$A:$A,0)),ISBLANK(D2))),TRUE)</xm:f>
            <x14:dxf>
              <font>
                <strike val="0"/>
                <color auto="1"/>
              </font>
              <fill>
                <patternFill patternType="lightGray">
                  <fgColor auto="1"/>
                  <bgColor rgb="FFFFFF00"/>
                </patternFill>
              </fill>
            </x14:dxf>
          </x14:cfRule>
          <xm:sqref>D2:D1048576</xm:sqref>
        </x14:conditionalFormatting>
        <x14:conditionalFormatting xmlns:xm="http://schemas.microsoft.com/office/excel/2006/main">
          <x14:cfRule type="iconSet" priority="5" id="{D37F3728-74AA-4138-A1DD-A8BD41373647}">
            <x14:iconSet iconSet="4Arrows" custom="1">
              <x14:cfvo type="percent">
                <xm:f>0</xm:f>
              </x14:cfvo>
              <x14:cfvo type="num">
                <xm:f>0</xm:f>
              </x14:cfvo>
              <x14:cfvo type="num">
                <xm:f>365</xm:f>
              </x14:cfvo>
              <x14:cfvo type="num">
                <xm:f>366</xm:f>
              </x14:cfvo>
              <x14:cfIcon iconSet="3Symbols" iconId="0"/>
              <x14:cfIcon iconSet="3Symbols" iconId="2"/>
              <x14:cfIcon iconSet="3Symbols" iconId="1"/>
              <x14:cfIcon iconSet="3Symbols" iconId="0"/>
            </x14:iconSet>
          </x14:cfRule>
          <xm:sqref>Z1:Z1048576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O63"/>
  <sheetViews>
    <sheetView workbookViewId="0">
      <selection activeCell="A9" sqref="A9"/>
    </sheetView>
  </sheetViews>
  <sheetFormatPr defaultColWidth="8.88671875" defaultRowHeight="13.8" x14ac:dyDescent="0.25"/>
  <cols>
    <col min="1" max="1" width="33.5546875" style="33" customWidth="1"/>
    <col min="2" max="2" width="16.6640625" style="17" customWidth="1"/>
    <col min="3" max="3" width="19.6640625" style="17" customWidth="1"/>
    <col min="4" max="4" width="19.6640625" style="31" customWidth="1"/>
    <col min="5" max="9" width="20.33203125" style="17" customWidth="1"/>
    <col min="10" max="11" width="15.109375" style="17" customWidth="1"/>
    <col min="12" max="12" width="1.109375" style="2" customWidth="1"/>
    <col min="13" max="13" width="33.5546875" style="36" customWidth="1"/>
    <col min="14" max="14" width="8.6640625" style="3" customWidth="1"/>
    <col min="15" max="15" width="1.109375" style="4" customWidth="1"/>
    <col min="16" max="16384" width="8.88671875" style="1"/>
  </cols>
  <sheetData>
    <row r="1" spans="1:14" x14ac:dyDescent="0.25">
      <c r="A1" s="32" t="s">
        <v>32</v>
      </c>
    </row>
    <row r="2" spans="1:14" x14ac:dyDescent="0.25">
      <c r="D2" s="35" t="s">
        <v>3</v>
      </c>
      <c r="E2" s="17">
        <f>SUMIF(Tri[IsCredit],FALSE,Tri[Balance])</f>
        <v>0</v>
      </c>
    </row>
    <row r="3" spans="1:14" x14ac:dyDescent="0.25">
      <c r="A3" s="34" t="s">
        <v>33</v>
      </c>
      <c r="B3" s="17">
        <f>ROUND(Tri[[#Totals],[Debit]]-Tri[[#Totals],[Credit]],4)</f>
        <v>0</v>
      </c>
      <c r="D3" s="35" t="s">
        <v>4</v>
      </c>
      <c r="E3" s="17">
        <f>-SUMIF(Tri[IsCredit],TRUE,Tri[Balance])</f>
        <v>0</v>
      </c>
    </row>
    <row r="4" spans="1:14" x14ac:dyDescent="0.25">
      <c r="A4" s="34" t="s">
        <v>44</v>
      </c>
      <c r="B4" s="17">
        <f>CashBalance</f>
        <v>0</v>
      </c>
      <c r="D4" s="34" t="s">
        <v>44</v>
      </c>
      <c r="E4" s="17">
        <f>B4</f>
        <v>0</v>
      </c>
    </row>
    <row r="5" spans="1:14" x14ac:dyDescent="0.25">
      <c r="A5" s="34" t="s">
        <v>8</v>
      </c>
      <c r="B5" s="17">
        <f>BankBalance</f>
        <v>0</v>
      </c>
      <c r="D5" s="34" t="s">
        <v>8</v>
      </c>
      <c r="E5" s="17">
        <f>B5</f>
        <v>0</v>
      </c>
    </row>
    <row r="6" spans="1:14" ht="14.4" thickBot="1" x14ac:dyDescent="0.3">
      <c r="B6" s="55">
        <f>SUM(B3:B5)</f>
        <v>0</v>
      </c>
      <c r="E6" s="55">
        <f>ROUND(SUM(E2:E5),4)</f>
        <v>0</v>
      </c>
    </row>
    <row r="7" spans="1:14" ht="14.4" thickTop="1" x14ac:dyDescent="0.25"/>
    <row r="8" spans="1:14" x14ac:dyDescent="0.25">
      <c r="A8" s="33" t="s">
        <v>30</v>
      </c>
      <c r="B8" s="33" t="s">
        <v>3</v>
      </c>
      <c r="C8" s="33" t="s">
        <v>4</v>
      </c>
      <c r="D8" s="31" t="s">
        <v>15</v>
      </c>
      <c r="E8" s="31" t="s">
        <v>89</v>
      </c>
      <c r="F8" s="31" t="s">
        <v>25</v>
      </c>
      <c r="G8" s="31" t="s">
        <v>93</v>
      </c>
      <c r="H8" s="31" t="s">
        <v>44</v>
      </c>
      <c r="I8" s="31" t="s">
        <v>45</v>
      </c>
      <c r="J8" s="31" t="s">
        <v>46</v>
      </c>
      <c r="K8" s="31" t="s">
        <v>48</v>
      </c>
      <c r="M8" s="36" t="s">
        <v>16</v>
      </c>
      <c r="N8" s="3" t="s">
        <v>34</v>
      </c>
    </row>
    <row r="9" spans="1:14" x14ac:dyDescent="0.25">
      <c r="B9" s="17">
        <f>SUMIFS(Transation[Debit],Transation[Account Head],Tri[[#This Row],[Account]],Transation[Reference],"&lt;&gt;JC*")</f>
        <v>0</v>
      </c>
      <c r="C9" s="17">
        <f>SUMIFS(Transation[Credit],Transation[Account Head],Tri[[#This Row],[Account]],Transation[Reference],"&lt;&gt;JC*")</f>
        <v>0</v>
      </c>
      <c r="E9" s="17">
        <f>ROUND(_xlfn.IFNA(IF(Tri[[#This Row],[IsCredit]],Tri[[#This Row],[Credit]]-Tri[[#This Row],[Debit]],Tri[[#This Row],[Debit]]-Tri[[#This Row],[Credit]]),0),4)</f>
        <v>0</v>
      </c>
      <c r="F9" s="17" t="b">
        <f>_xlfn.IFNA(VLOOKUP(Tri[[#This Row],[Type]],AccType[],4,FALSE),FALSE)</f>
        <v>0</v>
      </c>
      <c r="G9" s="17">
        <f>ROUND((SUMIFS(Transation[Debit],Transation[Account Head],Tri[[#This Row],[Account]])-SUMIFS(Transation[Credit],Transation[Account Head],Tri[[#This Row],[Account]]))*IF(Tri[[#This Row],[IsCredit]],-1,1),4)</f>
        <v>0</v>
      </c>
      <c r="H9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9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9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9" s="17">
        <f>SUM(Tri[[#This Row],[Cash]:[Jr]])</f>
        <v>0</v>
      </c>
      <c r="M9" s="36">
        <f t="array" aca="1" ref="M9" ca="1">_xlfn.IFNA(INDEX(Transation[Account Head],MATCH(0,COUNTIF(Lst_Acc[[#Headers],[AccHead]]:OFFSET(Lst_Acc[[#This Row],[AccHead]],-1,0),Transation[Account Head]),0)),)</f>
        <v>0</v>
      </c>
      <c r="N9" s="3" t="b">
        <f ca="1">_xlfn.IFNA(ISNUMBER(MATCH(Lst_Acc[[#This Row],[AccHead]],Tri[Account],0)),FALSE)</f>
        <v>0</v>
      </c>
    </row>
    <row r="10" spans="1:14" x14ac:dyDescent="0.25">
      <c r="B10" s="17">
        <f>SUMIFS(Transation[Debit],Transation[Account Head],Tri[[#This Row],[Account]],Transation[Reference],"&lt;&gt;JC*")</f>
        <v>0</v>
      </c>
      <c r="C10" s="17">
        <f>SUMIFS(Transation[Credit],Transation[Account Head],Tri[[#This Row],[Account]],Transation[Reference],"&lt;&gt;JC*")</f>
        <v>0</v>
      </c>
      <c r="E10" s="17">
        <f>ROUND(_xlfn.IFNA(IF(Tri[[#This Row],[IsCredit]],Tri[[#This Row],[Credit]]-Tri[[#This Row],[Debit]],Tri[[#This Row],[Debit]]-Tri[[#This Row],[Credit]]),0),4)</f>
        <v>0</v>
      </c>
      <c r="F10" s="17" t="b">
        <f>_xlfn.IFNA(VLOOKUP(Tri[[#This Row],[Type]],AccType[],4,FALSE),FALSE)</f>
        <v>0</v>
      </c>
      <c r="G10" s="17">
        <f>ROUND((SUMIFS(Transation[Debit],Transation[Account Head],Tri[[#This Row],[Account]])-SUMIFS(Transation[Credit],Transation[Account Head],Tri[[#This Row],[Account]]))*IF(Tri[[#This Row],[IsCredit]],-1,1),4)</f>
        <v>0</v>
      </c>
      <c r="H10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0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0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0" s="17">
        <f>SUM(Tri[[#This Row],[Cash]:[Jr]])</f>
        <v>0</v>
      </c>
      <c r="M10" s="36">
        <f t="array" aca="1" ref="M10" ca="1">_xlfn.IFNA(INDEX(Transation[Account Head],MATCH(0,COUNTIF(Lst_Acc[[#Headers],[AccHead]]:OFFSET(Lst_Acc[[#This Row],[AccHead]],-1,0),Transation[Account Head]),0)),)</f>
        <v>0</v>
      </c>
      <c r="N10" s="3" t="b">
        <f ca="1">_xlfn.IFNA(ISNUMBER(MATCH(Lst_Acc[[#This Row],[AccHead]],Tri[Account],0)),FALSE)</f>
        <v>0</v>
      </c>
    </row>
    <row r="11" spans="1:14" x14ac:dyDescent="0.25">
      <c r="B11" s="17">
        <f>SUMIFS(Transation[Debit],Transation[Account Head],Tri[[#This Row],[Account]],Transation[Reference],"&lt;&gt;JC*")</f>
        <v>0</v>
      </c>
      <c r="C11" s="17">
        <f>SUMIFS(Transation[Credit],Transation[Account Head],Tri[[#This Row],[Account]],Transation[Reference],"&lt;&gt;JC*")</f>
        <v>0</v>
      </c>
      <c r="E11" s="17">
        <f>ROUND(_xlfn.IFNA(IF(Tri[[#This Row],[IsCredit]],Tri[[#This Row],[Credit]]-Tri[[#This Row],[Debit]],Tri[[#This Row],[Debit]]-Tri[[#This Row],[Credit]]),0),4)</f>
        <v>0</v>
      </c>
      <c r="F11" s="17" t="b">
        <f>_xlfn.IFNA(VLOOKUP(Tri[[#This Row],[Type]],AccType[],4,FALSE),FALSE)</f>
        <v>0</v>
      </c>
      <c r="G11" s="17">
        <f>ROUND((SUMIFS(Transation[Debit],Transation[Account Head],Tri[[#This Row],[Account]])-SUMIFS(Transation[Credit],Transation[Account Head],Tri[[#This Row],[Account]]))*IF(Tri[[#This Row],[IsCredit]],-1,1),4)</f>
        <v>0</v>
      </c>
      <c r="H11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1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1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1" s="17">
        <f>SUM(Tri[[#This Row],[Cash]:[Jr]])</f>
        <v>0</v>
      </c>
      <c r="M11" s="36">
        <f t="array" aca="1" ref="M11" ca="1">_xlfn.IFNA(INDEX(Transation[Account Head],MATCH(0,COUNTIF(Lst_Acc[[#Headers],[AccHead]]:OFFSET(Lst_Acc[[#This Row],[AccHead]],-1,0),Transation[Account Head]),0)),)</f>
        <v>0</v>
      </c>
      <c r="N11" s="3" t="b">
        <f ca="1">_xlfn.IFNA(ISNUMBER(MATCH(Lst_Acc[[#This Row],[AccHead]],Tri[Account],0)),FALSE)</f>
        <v>0</v>
      </c>
    </row>
    <row r="12" spans="1:14" x14ac:dyDescent="0.25">
      <c r="B12" s="17">
        <f>SUMIFS(Transation[Debit],Transation[Account Head],Tri[[#This Row],[Account]],Transation[Reference],"&lt;&gt;JC*")</f>
        <v>0</v>
      </c>
      <c r="C12" s="17">
        <f>SUMIFS(Transation[Credit],Transation[Account Head],Tri[[#This Row],[Account]],Transation[Reference],"&lt;&gt;JC*")</f>
        <v>0</v>
      </c>
      <c r="E12" s="17">
        <f>ROUND(_xlfn.IFNA(IF(Tri[[#This Row],[IsCredit]],Tri[[#This Row],[Credit]]-Tri[[#This Row],[Debit]],Tri[[#This Row],[Debit]]-Tri[[#This Row],[Credit]]),0),4)</f>
        <v>0</v>
      </c>
      <c r="F12" s="17" t="b">
        <f>_xlfn.IFNA(VLOOKUP(Tri[[#This Row],[Type]],AccType[],4,FALSE),FALSE)</f>
        <v>0</v>
      </c>
      <c r="G12" s="17">
        <f>ROUND((SUMIFS(Transation[Debit],Transation[Account Head],Tri[[#This Row],[Account]])-SUMIFS(Transation[Credit],Transation[Account Head],Tri[[#This Row],[Account]]))*IF(Tri[[#This Row],[IsCredit]],-1,1),4)</f>
        <v>0</v>
      </c>
      <c r="H12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2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2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2" s="17">
        <f>SUM(Tri[[#This Row],[Cash]:[Jr]])</f>
        <v>0</v>
      </c>
      <c r="M12" s="36">
        <f t="array" aca="1" ref="M12" ca="1">_xlfn.IFNA(INDEX(Transation[Account Head],MATCH(0,COUNTIF(Lst_Acc[[#Headers],[AccHead]]:OFFSET(Lst_Acc[[#This Row],[AccHead]],-1,0),Transation[Account Head]),0)),)</f>
        <v>0</v>
      </c>
      <c r="N12" s="3" t="b">
        <f ca="1">_xlfn.IFNA(ISNUMBER(MATCH(Lst_Acc[[#This Row],[AccHead]],Tri[Account],0)),FALSE)</f>
        <v>0</v>
      </c>
    </row>
    <row r="13" spans="1:14" x14ac:dyDescent="0.25">
      <c r="B13" s="17">
        <f>SUMIFS(Transation[Debit],Transation[Account Head],Tri[[#This Row],[Account]],Transation[Reference],"&lt;&gt;JC*")</f>
        <v>0</v>
      </c>
      <c r="C13" s="17">
        <f>SUMIFS(Transation[Credit],Transation[Account Head],Tri[[#This Row],[Account]],Transation[Reference],"&lt;&gt;JC*")</f>
        <v>0</v>
      </c>
      <c r="E13" s="17">
        <f>ROUND(_xlfn.IFNA(IF(Tri[[#This Row],[IsCredit]],Tri[[#This Row],[Credit]]-Tri[[#This Row],[Debit]],Tri[[#This Row],[Debit]]-Tri[[#This Row],[Credit]]),0),4)</f>
        <v>0</v>
      </c>
      <c r="F13" s="17" t="b">
        <f>_xlfn.IFNA(VLOOKUP(Tri[[#This Row],[Type]],AccType[],4,FALSE),FALSE)</f>
        <v>0</v>
      </c>
      <c r="G13" s="17">
        <f>ROUND((SUMIFS(Transation[Debit],Transation[Account Head],Tri[[#This Row],[Account]])-SUMIFS(Transation[Credit],Transation[Account Head],Tri[[#This Row],[Account]]))*IF(Tri[[#This Row],[IsCredit]],-1,1),4)</f>
        <v>0</v>
      </c>
      <c r="H13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3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3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3" s="17">
        <f>SUM(Tri[[#This Row],[Cash]:[Jr]])</f>
        <v>0</v>
      </c>
      <c r="M13" s="36">
        <f t="array" aca="1" ref="M13" ca="1">_xlfn.IFNA(INDEX(Transation[Account Head],MATCH(0,COUNTIF(Lst_Acc[[#Headers],[AccHead]]:OFFSET(Lst_Acc[[#This Row],[AccHead]],-1,0),Transation[Account Head]),0)),)</f>
        <v>0</v>
      </c>
      <c r="N13" s="3" t="b">
        <f ca="1">_xlfn.IFNA(ISNUMBER(MATCH(Lst_Acc[[#This Row],[AccHead]],Tri[Account],0)),FALSE)</f>
        <v>0</v>
      </c>
    </row>
    <row r="14" spans="1:14" x14ac:dyDescent="0.25">
      <c r="B14" s="17">
        <f>SUMIFS(Transation[Debit],Transation[Account Head],Tri[[#This Row],[Account]],Transation[Reference],"&lt;&gt;JC*")</f>
        <v>0</v>
      </c>
      <c r="C14" s="17">
        <f>SUMIFS(Transation[Credit],Transation[Account Head],Tri[[#This Row],[Account]],Transation[Reference],"&lt;&gt;JC*")</f>
        <v>0</v>
      </c>
      <c r="E14" s="17">
        <f>ROUND(_xlfn.IFNA(IF(Tri[[#This Row],[IsCredit]],Tri[[#This Row],[Credit]]-Tri[[#This Row],[Debit]],Tri[[#This Row],[Debit]]-Tri[[#This Row],[Credit]]),0),4)</f>
        <v>0</v>
      </c>
      <c r="F14" s="17" t="b">
        <f>_xlfn.IFNA(VLOOKUP(Tri[[#This Row],[Type]],AccType[],4,FALSE),FALSE)</f>
        <v>0</v>
      </c>
      <c r="G14" s="17">
        <f>ROUND((SUMIFS(Transation[Debit],Transation[Account Head],Tri[[#This Row],[Account]])-SUMIFS(Transation[Credit],Transation[Account Head],Tri[[#This Row],[Account]]))*IF(Tri[[#This Row],[IsCredit]],-1,1),4)</f>
        <v>0</v>
      </c>
      <c r="H14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4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4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4" s="17">
        <f>SUM(Tri[[#This Row],[Cash]:[Jr]])</f>
        <v>0</v>
      </c>
      <c r="M14" s="36">
        <f t="array" aca="1" ref="M14" ca="1">_xlfn.IFNA(INDEX(Transation[Account Head],MATCH(0,COUNTIF(Lst_Acc[[#Headers],[AccHead]]:OFFSET(Lst_Acc[[#This Row],[AccHead]],-1,0),Transation[Account Head]),0)),)</f>
        <v>0</v>
      </c>
      <c r="N14" s="3" t="b">
        <f ca="1">_xlfn.IFNA(ISNUMBER(MATCH(Lst_Acc[[#This Row],[AccHead]],Tri[Account],0)),FALSE)</f>
        <v>0</v>
      </c>
    </row>
    <row r="15" spans="1:14" x14ac:dyDescent="0.25">
      <c r="B15" s="17">
        <f>SUMIFS(Transation[Debit],Transation[Account Head],Tri[[#This Row],[Account]],Transation[Reference],"&lt;&gt;JC*")</f>
        <v>0</v>
      </c>
      <c r="C15" s="17">
        <f>SUMIFS(Transation[Credit],Transation[Account Head],Tri[[#This Row],[Account]],Transation[Reference],"&lt;&gt;JC*")</f>
        <v>0</v>
      </c>
      <c r="E15" s="17">
        <f>ROUND(_xlfn.IFNA(IF(Tri[[#This Row],[IsCredit]],Tri[[#This Row],[Credit]]-Tri[[#This Row],[Debit]],Tri[[#This Row],[Debit]]-Tri[[#This Row],[Credit]]),0),4)</f>
        <v>0</v>
      </c>
      <c r="F15" s="17" t="b">
        <f>_xlfn.IFNA(VLOOKUP(Tri[[#This Row],[Type]],AccType[],4,FALSE),FALSE)</f>
        <v>0</v>
      </c>
      <c r="G15" s="17">
        <f>ROUND((SUMIFS(Transation[Debit],Transation[Account Head],Tri[[#This Row],[Account]])-SUMIFS(Transation[Credit],Transation[Account Head],Tri[[#This Row],[Account]]))*IF(Tri[[#This Row],[IsCredit]],-1,1),4)</f>
        <v>0</v>
      </c>
      <c r="H15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5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5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5" s="17">
        <f>SUM(Tri[[#This Row],[Cash]:[Jr]])</f>
        <v>0</v>
      </c>
      <c r="M15" s="36">
        <f t="array" aca="1" ref="M15" ca="1">_xlfn.IFNA(INDEX(Transation[Account Head],MATCH(0,COUNTIF(Lst_Acc[[#Headers],[AccHead]]:OFFSET(Lst_Acc[[#This Row],[AccHead]],-1,0),Transation[Account Head]),0)),)</f>
        <v>0</v>
      </c>
      <c r="N15" s="3" t="b">
        <f ca="1">_xlfn.IFNA(ISNUMBER(MATCH(Lst_Acc[[#This Row],[AccHead]],Tri[Account],0)),FALSE)</f>
        <v>0</v>
      </c>
    </row>
    <row r="16" spans="1:14" x14ac:dyDescent="0.25">
      <c r="B16" s="17">
        <f>SUMIFS(Transation[Debit],Transation[Account Head],Tri[[#This Row],[Account]],Transation[Reference],"&lt;&gt;JC*")</f>
        <v>0</v>
      </c>
      <c r="C16" s="17">
        <f>SUMIFS(Transation[Credit],Transation[Account Head],Tri[[#This Row],[Account]],Transation[Reference],"&lt;&gt;JC*")</f>
        <v>0</v>
      </c>
      <c r="E16" s="17">
        <f>ROUND(_xlfn.IFNA(IF(Tri[[#This Row],[IsCredit]],Tri[[#This Row],[Credit]]-Tri[[#This Row],[Debit]],Tri[[#This Row],[Debit]]-Tri[[#This Row],[Credit]]),0),4)</f>
        <v>0</v>
      </c>
      <c r="F16" s="17" t="b">
        <f>_xlfn.IFNA(VLOOKUP(Tri[[#This Row],[Type]],AccType[],4,FALSE),FALSE)</f>
        <v>0</v>
      </c>
      <c r="G16" s="17">
        <f>ROUND((SUMIFS(Transation[Debit],Transation[Account Head],Tri[[#This Row],[Account]])-SUMIFS(Transation[Credit],Transation[Account Head],Tri[[#This Row],[Account]]))*IF(Tri[[#This Row],[IsCredit]],-1,1),4)</f>
        <v>0</v>
      </c>
      <c r="H16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6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6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6" s="17">
        <f>SUM(Tri[[#This Row],[Cash]:[Jr]])</f>
        <v>0</v>
      </c>
      <c r="M16" s="36">
        <f t="array" aca="1" ref="M16" ca="1">_xlfn.IFNA(INDEX(Transation[Account Head],MATCH(0,COUNTIF(Lst_Acc[[#Headers],[AccHead]]:OFFSET(Lst_Acc[[#This Row],[AccHead]],-1,0),Transation[Account Head]),0)),)</f>
        <v>0</v>
      </c>
      <c r="N16" s="3" t="b">
        <f ca="1">_xlfn.IFNA(ISNUMBER(MATCH(Lst_Acc[[#This Row],[AccHead]],Tri[Account],0)),FALSE)</f>
        <v>0</v>
      </c>
    </row>
    <row r="17" spans="2:14" x14ac:dyDescent="0.25">
      <c r="B17" s="17">
        <f>SUMIFS(Transation[Debit],Transation[Account Head],Tri[[#This Row],[Account]],Transation[Reference],"&lt;&gt;JC*")</f>
        <v>0</v>
      </c>
      <c r="C17" s="17">
        <f>SUMIFS(Transation[Credit],Transation[Account Head],Tri[[#This Row],[Account]],Transation[Reference],"&lt;&gt;JC*")</f>
        <v>0</v>
      </c>
      <c r="E17" s="17">
        <f>ROUND(_xlfn.IFNA(IF(Tri[[#This Row],[IsCredit]],Tri[[#This Row],[Credit]]-Tri[[#This Row],[Debit]],Tri[[#This Row],[Debit]]-Tri[[#This Row],[Credit]]),0),4)</f>
        <v>0</v>
      </c>
      <c r="F17" s="17" t="b">
        <f>_xlfn.IFNA(VLOOKUP(Tri[[#This Row],[Type]],AccType[],4,FALSE),FALSE)</f>
        <v>0</v>
      </c>
      <c r="G17" s="17">
        <f>ROUND((SUMIFS(Transation[Debit],Transation[Account Head],Tri[[#This Row],[Account]])-SUMIFS(Transation[Credit],Transation[Account Head],Tri[[#This Row],[Account]]))*IF(Tri[[#This Row],[IsCredit]],-1,1),4)</f>
        <v>0</v>
      </c>
      <c r="H17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7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7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7" s="17">
        <f>SUM(Tri[[#This Row],[Cash]:[Jr]])</f>
        <v>0</v>
      </c>
      <c r="M17" s="36">
        <f t="array" aca="1" ref="M17" ca="1">_xlfn.IFNA(INDEX(Transation[Account Head],MATCH(0,COUNTIF(Lst_Acc[[#Headers],[AccHead]]:OFFSET(Lst_Acc[[#This Row],[AccHead]],-1,0),Transation[Account Head]),0)),)</f>
        <v>0</v>
      </c>
      <c r="N17" s="3" t="b">
        <f ca="1">_xlfn.IFNA(ISNUMBER(MATCH(Lst_Acc[[#This Row],[AccHead]],Tri[Account],0)),FALSE)</f>
        <v>0</v>
      </c>
    </row>
    <row r="18" spans="2:14" x14ac:dyDescent="0.25">
      <c r="B18" s="17">
        <f>SUMIFS(Transation[Debit],Transation[Account Head],Tri[[#This Row],[Account]],Transation[Reference],"&lt;&gt;JC*")</f>
        <v>0</v>
      </c>
      <c r="C18" s="17">
        <f>SUMIFS(Transation[Credit],Transation[Account Head],Tri[[#This Row],[Account]],Transation[Reference],"&lt;&gt;JC*")</f>
        <v>0</v>
      </c>
      <c r="E18" s="17">
        <f>ROUND(_xlfn.IFNA(IF(Tri[[#This Row],[IsCredit]],Tri[[#This Row],[Credit]]-Tri[[#This Row],[Debit]],Tri[[#This Row],[Debit]]-Tri[[#This Row],[Credit]]),0),4)</f>
        <v>0</v>
      </c>
      <c r="F18" s="17" t="b">
        <f>_xlfn.IFNA(VLOOKUP(Tri[[#This Row],[Type]],AccType[],4,FALSE),FALSE)</f>
        <v>0</v>
      </c>
      <c r="G18" s="17">
        <f>ROUND((SUMIFS(Transation[Debit],Transation[Account Head],Tri[[#This Row],[Account]])-SUMIFS(Transation[Credit],Transation[Account Head],Tri[[#This Row],[Account]]))*IF(Tri[[#This Row],[IsCredit]],-1,1),4)</f>
        <v>0</v>
      </c>
      <c r="H18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8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8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8" s="17">
        <f>SUM(Tri[[#This Row],[Cash]:[Jr]])</f>
        <v>0</v>
      </c>
      <c r="M18" s="36">
        <f t="array" aca="1" ref="M18" ca="1">_xlfn.IFNA(INDEX(Transation[Account Head],MATCH(0,COUNTIF(Lst_Acc[[#Headers],[AccHead]]:OFFSET(Lst_Acc[[#This Row],[AccHead]],-1,0),Transation[Account Head]),0)),)</f>
        <v>0</v>
      </c>
      <c r="N18" s="3" t="b">
        <f ca="1">_xlfn.IFNA(ISNUMBER(MATCH(Lst_Acc[[#This Row],[AccHead]],Tri[Account],0)),FALSE)</f>
        <v>0</v>
      </c>
    </row>
    <row r="19" spans="2:14" x14ac:dyDescent="0.25">
      <c r="B19" s="17">
        <f>SUMIFS(Transation[Debit],Transation[Account Head],Tri[[#This Row],[Account]],Transation[Reference],"&lt;&gt;JC*")</f>
        <v>0</v>
      </c>
      <c r="C19" s="17">
        <f>SUMIFS(Transation[Credit],Transation[Account Head],Tri[[#This Row],[Account]],Transation[Reference],"&lt;&gt;JC*")</f>
        <v>0</v>
      </c>
      <c r="E19" s="17">
        <f>ROUND(_xlfn.IFNA(IF(Tri[[#This Row],[IsCredit]],Tri[[#This Row],[Credit]]-Tri[[#This Row],[Debit]],Tri[[#This Row],[Debit]]-Tri[[#This Row],[Credit]]),0),4)</f>
        <v>0</v>
      </c>
      <c r="F19" s="17" t="b">
        <f>_xlfn.IFNA(VLOOKUP(Tri[[#This Row],[Type]],AccType[],4,FALSE),FALSE)</f>
        <v>0</v>
      </c>
      <c r="G19" s="17">
        <f>ROUND((SUMIFS(Transation[Debit],Transation[Account Head],Tri[[#This Row],[Account]])-SUMIFS(Transation[Credit],Transation[Account Head],Tri[[#This Row],[Account]]))*IF(Tri[[#This Row],[IsCredit]],-1,1),4)</f>
        <v>0</v>
      </c>
      <c r="H19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19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19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19" s="17">
        <f>SUM(Tri[[#This Row],[Cash]:[Jr]])</f>
        <v>0</v>
      </c>
      <c r="M19" s="36">
        <f t="array" aca="1" ref="M19" ca="1">_xlfn.IFNA(INDEX(Transation[Account Head],MATCH(0,COUNTIF(Lst_Acc[[#Headers],[AccHead]]:OFFSET(Lst_Acc[[#This Row],[AccHead]],-1,0),Transation[Account Head]),0)),)</f>
        <v>0</v>
      </c>
      <c r="N19" s="3" t="b">
        <f ca="1">_xlfn.IFNA(ISNUMBER(MATCH(Lst_Acc[[#This Row],[AccHead]],Tri[Account],0)),FALSE)</f>
        <v>0</v>
      </c>
    </row>
    <row r="20" spans="2:14" x14ac:dyDescent="0.25">
      <c r="B20" s="17">
        <f>SUMIFS(Transation[Debit],Transation[Account Head],Tri[[#This Row],[Account]],Transation[Reference],"&lt;&gt;JC*")</f>
        <v>0</v>
      </c>
      <c r="C20" s="17">
        <f>SUMIFS(Transation[Credit],Transation[Account Head],Tri[[#This Row],[Account]],Transation[Reference],"&lt;&gt;JC*")</f>
        <v>0</v>
      </c>
      <c r="E20" s="17">
        <f>ROUND(_xlfn.IFNA(IF(Tri[[#This Row],[IsCredit]],Tri[[#This Row],[Credit]]-Tri[[#This Row],[Debit]],Tri[[#This Row],[Debit]]-Tri[[#This Row],[Credit]]),0),4)</f>
        <v>0</v>
      </c>
      <c r="F20" s="17" t="b">
        <f>_xlfn.IFNA(VLOOKUP(Tri[[#This Row],[Type]],AccType[],4,FALSE),FALSE)</f>
        <v>0</v>
      </c>
      <c r="G20" s="17">
        <f>ROUND((SUMIFS(Transation[Debit],Transation[Account Head],Tri[[#This Row],[Account]])-SUMIFS(Transation[Credit],Transation[Account Head],Tri[[#This Row],[Account]]))*IF(Tri[[#This Row],[IsCredit]],-1,1),4)</f>
        <v>0</v>
      </c>
      <c r="H20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0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0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0" s="17">
        <f>SUM(Tri[[#This Row],[Cash]:[Jr]])</f>
        <v>0</v>
      </c>
      <c r="M20" s="36">
        <f t="array" aca="1" ref="M20" ca="1">_xlfn.IFNA(INDEX(Transation[Account Head],MATCH(0,COUNTIF(Lst_Acc[[#Headers],[AccHead]]:OFFSET(Lst_Acc[[#This Row],[AccHead]],-1,0),Transation[Account Head]),0)),)</f>
        <v>0</v>
      </c>
      <c r="N20" s="3" t="b">
        <f ca="1">_xlfn.IFNA(ISNUMBER(MATCH(Lst_Acc[[#This Row],[AccHead]],Tri[Account],0)),FALSE)</f>
        <v>0</v>
      </c>
    </row>
    <row r="21" spans="2:14" x14ac:dyDescent="0.25">
      <c r="B21" s="17">
        <f>SUMIFS(Transation[Debit],Transation[Account Head],Tri[[#This Row],[Account]],Transation[Reference],"&lt;&gt;JC*")</f>
        <v>0</v>
      </c>
      <c r="C21" s="17">
        <f>SUMIFS(Transation[Credit],Transation[Account Head],Tri[[#This Row],[Account]],Transation[Reference],"&lt;&gt;JC*")</f>
        <v>0</v>
      </c>
      <c r="E21" s="17">
        <f>ROUND(_xlfn.IFNA(IF(Tri[[#This Row],[IsCredit]],Tri[[#This Row],[Credit]]-Tri[[#This Row],[Debit]],Tri[[#This Row],[Debit]]-Tri[[#This Row],[Credit]]),0),4)</f>
        <v>0</v>
      </c>
      <c r="F21" s="17" t="b">
        <f>_xlfn.IFNA(VLOOKUP(Tri[[#This Row],[Type]],AccType[],4,FALSE),FALSE)</f>
        <v>0</v>
      </c>
      <c r="G21" s="17">
        <f>ROUND((SUMIFS(Transation[Debit],Transation[Account Head],Tri[[#This Row],[Account]])-SUMIFS(Transation[Credit],Transation[Account Head],Tri[[#This Row],[Account]]))*IF(Tri[[#This Row],[IsCredit]],-1,1),4)</f>
        <v>0</v>
      </c>
      <c r="H21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1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1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1" s="17">
        <f>SUM(Tri[[#This Row],[Cash]:[Jr]])</f>
        <v>0</v>
      </c>
      <c r="M21" s="36">
        <f t="array" aca="1" ref="M21" ca="1">_xlfn.IFNA(INDEX(Transation[Account Head],MATCH(0,COUNTIF(Lst_Acc[[#Headers],[AccHead]]:OFFSET(Lst_Acc[[#This Row],[AccHead]],-1,0),Transation[Account Head]),0)),)</f>
        <v>0</v>
      </c>
      <c r="N21" s="3" t="b">
        <f ca="1">_xlfn.IFNA(ISNUMBER(MATCH(Lst_Acc[[#This Row],[AccHead]],Tri[Account],0)),FALSE)</f>
        <v>0</v>
      </c>
    </row>
    <row r="22" spans="2:14" x14ac:dyDescent="0.25">
      <c r="B22" s="17">
        <f>SUMIFS(Transation[Debit],Transation[Account Head],Tri[[#This Row],[Account]],Transation[Reference],"&lt;&gt;JC*")</f>
        <v>0</v>
      </c>
      <c r="C22" s="17">
        <f>SUMIFS(Transation[Credit],Transation[Account Head],Tri[[#This Row],[Account]],Transation[Reference],"&lt;&gt;JC*")</f>
        <v>0</v>
      </c>
      <c r="E22" s="17">
        <f>ROUND(_xlfn.IFNA(IF(Tri[[#This Row],[IsCredit]],Tri[[#This Row],[Credit]]-Tri[[#This Row],[Debit]],Tri[[#This Row],[Debit]]-Tri[[#This Row],[Credit]]),0),4)</f>
        <v>0</v>
      </c>
      <c r="F22" s="17" t="b">
        <f>_xlfn.IFNA(VLOOKUP(Tri[[#This Row],[Type]],AccType[],4,FALSE),FALSE)</f>
        <v>0</v>
      </c>
      <c r="G22" s="17">
        <f>ROUND((SUMIFS(Transation[Debit],Transation[Account Head],Tri[[#This Row],[Account]])-SUMIFS(Transation[Credit],Transation[Account Head],Tri[[#This Row],[Account]]))*IF(Tri[[#This Row],[IsCredit]],-1,1),4)</f>
        <v>0</v>
      </c>
      <c r="H22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2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2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2" s="17">
        <f>SUM(Tri[[#This Row],[Cash]:[Jr]])</f>
        <v>0</v>
      </c>
      <c r="M22" s="36">
        <f t="array" aca="1" ref="M22" ca="1">_xlfn.IFNA(INDEX(Transation[Account Head],MATCH(0,COUNTIF(Lst_Acc[[#Headers],[AccHead]]:OFFSET(Lst_Acc[[#This Row],[AccHead]],-1,0),Transation[Account Head]),0)),)</f>
        <v>0</v>
      </c>
      <c r="N22" s="3" t="b">
        <f ca="1">_xlfn.IFNA(ISNUMBER(MATCH(Lst_Acc[[#This Row],[AccHead]],Tri[Account],0)),FALSE)</f>
        <v>0</v>
      </c>
    </row>
    <row r="23" spans="2:14" x14ac:dyDescent="0.25">
      <c r="B23" s="17">
        <f>SUMIFS(Transation[Debit],Transation[Account Head],Tri[[#This Row],[Account]],Transation[Reference],"&lt;&gt;JC*")</f>
        <v>0</v>
      </c>
      <c r="C23" s="17">
        <f>SUMIFS(Transation[Credit],Transation[Account Head],Tri[[#This Row],[Account]],Transation[Reference],"&lt;&gt;JC*")</f>
        <v>0</v>
      </c>
      <c r="E23" s="17">
        <f>ROUND(_xlfn.IFNA(IF(Tri[[#This Row],[IsCredit]],Tri[[#This Row],[Credit]]-Tri[[#This Row],[Debit]],Tri[[#This Row],[Debit]]-Tri[[#This Row],[Credit]]),0),4)</f>
        <v>0</v>
      </c>
      <c r="F23" s="17" t="b">
        <f>_xlfn.IFNA(VLOOKUP(Tri[[#This Row],[Type]],AccType[],4,FALSE),FALSE)</f>
        <v>0</v>
      </c>
      <c r="G23" s="17">
        <f>ROUND((SUMIFS(Transation[Debit],Transation[Account Head],Tri[[#This Row],[Account]])-SUMIFS(Transation[Credit],Transation[Account Head],Tri[[#This Row],[Account]]))*IF(Tri[[#This Row],[IsCredit]],-1,1),4)</f>
        <v>0</v>
      </c>
      <c r="H23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3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3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3" s="17">
        <f>SUM(Tri[[#This Row],[Cash]:[Jr]])</f>
        <v>0</v>
      </c>
      <c r="M23" s="36">
        <f t="array" aca="1" ref="M23" ca="1">_xlfn.IFNA(INDEX(Transation[Account Head],MATCH(0,COUNTIF(Lst_Acc[[#Headers],[AccHead]]:OFFSET(Lst_Acc[[#This Row],[AccHead]],-1,0),Transation[Account Head]),0)),)</f>
        <v>0</v>
      </c>
      <c r="N23" s="3" t="b">
        <f ca="1">_xlfn.IFNA(ISNUMBER(MATCH(Lst_Acc[[#This Row],[AccHead]],Tri[Account],0)),FALSE)</f>
        <v>0</v>
      </c>
    </row>
    <row r="24" spans="2:14" x14ac:dyDescent="0.25">
      <c r="B24" s="17">
        <f>SUMIFS(Transation[Debit],Transation[Account Head],Tri[[#This Row],[Account]],Transation[Reference],"&lt;&gt;JC*")</f>
        <v>0</v>
      </c>
      <c r="C24" s="17">
        <f>SUMIFS(Transation[Credit],Transation[Account Head],Tri[[#This Row],[Account]],Transation[Reference],"&lt;&gt;JC*")</f>
        <v>0</v>
      </c>
      <c r="E24" s="17">
        <f>ROUND(_xlfn.IFNA(IF(Tri[[#This Row],[IsCredit]],Tri[[#This Row],[Credit]]-Tri[[#This Row],[Debit]],Tri[[#This Row],[Debit]]-Tri[[#This Row],[Credit]]),0),4)</f>
        <v>0</v>
      </c>
      <c r="F24" s="17" t="b">
        <f>_xlfn.IFNA(VLOOKUP(Tri[[#This Row],[Type]],AccType[],4,FALSE),FALSE)</f>
        <v>0</v>
      </c>
      <c r="G24" s="17">
        <f>ROUND((SUMIFS(Transation[Debit],Transation[Account Head],Tri[[#This Row],[Account]])-SUMIFS(Transation[Credit],Transation[Account Head],Tri[[#This Row],[Account]]))*IF(Tri[[#This Row],[IsCredit]],-1,1),4)</f>
        <v>0</v>
      </c>
      <c r="H24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4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4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4" s="17">
        <f>SUM(Tri[[#This Row],[Cash]:[Jr]])</f>
        <v>0</v>
      </c>
      <c r="M24" s="36">
        <f t="array" aca="1" ref="M24" ca="1">_xlfn.IFNA(INDEX(Transation[Account Head],MATCH(0,COUNTIF(Lst_Acc[[#Headers],[AccHead]]:OFFSET(Lst_Acc[[#This Row],[AccHead]],-1,0),Transation[Account Head]),0)),)</f>
        <v>0</v>
      </c>
      <c r="N24" s="3" t="b">
        <f ca="1">_xlfn.IFNA(ISNUMBER(MATCH(Lst_Acc[[#This Row],[AccHead]],Tri[Account],0)),FALSE)</f>
        <v>0</v>
      </c>
    </row>
    <row r="25" spans="2:14" x14ac:dyDescent="0.25">
      <c r="B25" s="17">
        <f>SUMIFS(Transation[Debit],Transation[Account Head],Tri[[#This Row],[Account]],Transation[Reference],"&lt;&gt;JC*")</f>
        <v>0</v>
      </c>
      <c r="C25" s="17">
        <f>SUMIFS(Transation[Credit],Transation[Account Head],Tri[[#This Row],[Account]],Transation[Reference],"&lt;&gt;JC*")</f>
        <v>0</v>
      </c>
      <c r="E25" s="17">
        <f>ROUND(_xlfn.IFNA(IF(Tri[[#This Row],[IsCredit]],Tri[[#This Row],[Credit]]-Tri[[#This Row],[Debit]],Tri[[#This Row],[Debit]]-Tri[[#This Row],[Credit]]),0),4)</f>
        <v>0</v>
      </c>
      <c r="F25" s="17" t="b">
        <f>_xlfn.IFNA(VLOOKUP(Tri[[#This Row],[Type]],AccType[],4,FALSE),FALSE)</f>
        <v>0</v>
      </c>
      <c r="G25" s="17">
        <f>ROUND((SUMIFS(Transation[Debit],Transation[Account Head],Tri[[#This Row],[Account]])-SUMIFS(Transation[Credit],Transation[Account Head],Tri[[#This Row],[Account]]))*IF(Tri[[#This Row],[IsCredit]],-1,1),4)</f>
        <v>0</v>
      </c>
      <c r="H25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5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5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5" s="17">
        <f>SUM(Tri[[#This Row],[Cash]:[Jr]])</f>
        <v>0</v>
      </c>
      <c r="M25" s="36">
        <f t="array" aca="1" ref="M25" ca="1">_xlfn.IFNA(INDEX(Transation[Account Head],MATCH(0,COUNTIF(Lst_Acc[[#Headers],[AccHead]]:OFFSET(Lst_Acc[[#This Row],[AccHead]],-1,0),Transation[Account Head]),0)),)</f>
        <v>0</v>
      </c>
      <c r="N25" s="3" t="b">
        <f ca="1">_xlfn.IFNA(ISNUMBER(MATCH(Lst_Acc[[#This Row],[AccHead]],Tri[Account],0)),FALSE)</f>
        <v>0</v>
      </c>
    </row>
    <row r="26" spans="2:14" x14ac:dyDescent="0.25">
      <c r="B26" s="17">
        <f>SUMIFS(Transation[Debit],Transation[Account Head],Tri[[#This Row],[Account]],Transation[Reference],"&lt;&gt;JC*")</f>
        <v>0</v>
      </c>
      <c r="C26" s="17">
        <f>SUMIFS(Transation[Credit],Transation[Account Head],Tri[[#This Row],[Account]],Transation[Reference],"&lt;&gt;JC*")</f>
        <v>0</v>
      </c>
      <c r="E26" s="17">
        <f>ROUND(_xlfn.IFNA(IF(Tri[[#This Row],[IsCredit]],Tri[[#This Row],[Credit]]-Tri[[#This Row],[Debit]],Tri[[#This Row],[Debit]]-Tri[[#This Row],[Credit]]),0),4)</f>
        <v>0</v>
      </c>
      <c r="F26" s="17" t="b">
        <f>_xlfn.IFNA(VLOOKUP(Tri[[#This Row],[Type]],AccType[],4,FALSE),FALSE)</f>
        <v>0</v>
      </c>
      <c r="G26" s="17">
        <f>ROUND((SUMIFS(Transation[Debit],Transation[Account Head],Tri[[#This Row],[Account]])-SUMIFS(Transation[Credit],Transation[Account Head],Tri[[#This Row],[Account]]))*IF(Tri[[#This Row],[IsCredit]],-1,1),4)</f>
        <v>0</v>
      </c>
      <c r="H26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6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6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6" s="17">
        <f>SUM(Tri[[#This Row],[Cash]:[Jr]])</f>
        <v>0</v>
      </c>
      <c r="M26" s="36">
        <f t="array" aca="1" ref="M26" ca="1">_xlfn.IFNA(INDEX(Transation[Account Head],MATCH(0,COUNTIF(Lst_Acc[[#Headers],[AccHead]]:OFFSET(Lst_Acc[[#This Row],[AccHead]],-1,0),Transation[Account Head]),0)),)</f>
        <v>0</v>
      </c>
      <c r="N26" s="3" t="b">
        <f ca="1">_xlfn.IFNA(ISNUMBER(MATCH(Lst_Acc[[#This Row],[AccHead]],Tri[Account],0)),FALSE)</f>
        <v>0</v>
      </c>
    </row>
    <row r="27" spans="2:14" x14ac:dyDescent="0.25">
      <c r="B27" s="17">
        <f>SUMIFS(Transation[Debit],Transation[Account Head],Tri[[#This Row],[Account]],Transation[Reference],"&lt;&gt;JC*")</f>
        <v>0</v>
      </c>
      <c r="C27" s="17">
        <f>SUMIFS(Transation[Credit],Transation[Account Head],Tri[[#This Row],[Account]],Transation[Reference],"&lt;&gt;JC*")</f>
        <v>0</v>
      </c>
      <c r="E27" s="17">
        <f>ROUND(_xlfn.IFNA(IF(Tri[[#This Row],[IsCredit]],Tri[[#This Row],[Credit]]-Tri[[#This Row],[Debit]],Tri[[#This Row],[Debit]]-Tri[[#This Row],[Credit]]),0),4)</f>
        <v>0</v>
      </c>
      <c r="F27" s="17" t="b">
        <f>_xlfn.IFNA(VLOOKUP(Tri[[#This Row],[Type]],AccType[],4,FALSE),FALSE)</f>
        <v>0</v>
      </c>
      <c r="G27" s="17">
        <f>ROUND((SUMIFS(Transation[Debit],Transation[Account Head],Tri[[#This Row],[Account]])-SUMIFS(Transation[Credit],Transation[Account Head],Tri[[#This Row],[Account]]))*IF(Tri[[#This Row],[IsCredit]],-1,1),4)</f>
        <v>0</v>
      </c>
      <c r="H27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7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7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7" s="17">
        <f>SUM(Tri[[#This Row],[Cash]:[Jr]])</f>
        <v>0</v>
      </c>
      <c r="M27" s="36">
        <f t="array" aca="1" ref="M27" ca="1">_xlfn.IFNA(INDEX(Transation[Account Head],MATCH(0,COUNTIF(Lst_Acc[[#Headers],[AccHead]]:OFFSET(Lst_Acc[[#This Row],[AccHead]],-1,0),Transation[Account Head]),0)),)</f>
        <v>0</v>
      </c>
      <c r="N27" s="3" t="b">
        <f ca="1">_xlfn.IFNA(ISNUMBER(MATCH(Lst_Acc[[#This Row],[AccHead]],Tri[Account],0)),FALSE)</f>
        <v>0</v>
      </c>
    </row>
    <row r="28" spans="2:14" x14ac:dyDescent="0.25">
      <c r="B28" s="17">
        <f>SUMIFS(Transation[Debit],Transation[Account Head],Tri[[#This Row],[Account]],Transation[Reference],"&lt;&gt;JC*")</f>
        <v>0</v>
      </c>
      <c r="C28" s="17">
        <f>SUMIFS(Transation[Credit],Transation[Account Head],Tri[[#This Row],[Account]],Transation[Reference],"&lt;&gt;JC*")</f>
        <v>0</v>
      </c>
      <c r="E28" s="17">
        <f>ROUND(_xlfn.IFNA(IF(Tri[[#This Row],[IsCredit]],Tri[[#This Row],[Credit]]-Tri[[#This Row],[Debit]],Tri[[#This Row],[Debit]]-Tri[[#This Row],[Credit]]),0),4)</f>
        <v>0</v>
      </c>
      <c r="F28" s="17" t="b">
        <f>_xlfn.IFNA(VLOOKUP(Tri[[#This Row],[Type]],AccType[],4,FALSE),FALSE)</f>
        <v>0</v>
      </c>
      <c r="G28" s="17">
        <f>ROUND((SUMIFS(Transation[Debit],Transation[Account Head],Tri[[#This Row],[Account]])-SUMIFS(Transation[Credit],Transation[Account Head],Tri[[#This Row],[Account]]))*IF(Tri[[#This Row],[IsCredit]],-1,1),4)</f>
        <v>0</v>
      </c>
      <c r="H28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8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8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8" s="17">
        <f>SUM(Tri[[#This Row],[Cash]:[Jr]])</f>
        <v>0</v>
      </c>
      <c r="M28" s="36">
        <f t="array" aca="1" ref="M28" ca="1">_xlfn.IFNA(INDEX(Transation[Account Head],MATCH(0,COUNTIF(Lst_Acc[[#Headers],[AccHead]]:OFFSET(Lst_Acc[[#This Row],[AccHead]],-1,0),Transation[Account Head]),0)),)</f>
        <v>0</v>
      </c>
      <c r="N28" s="3" t="b">
        <f ca="1">_xlfn.IFNA(ISNUMBER(MATCH(Lst_Acc[[#This Row],[AccHead]],Tri[Account],0)),FALSE)</f>
        <v>0</v>
      </c>
    </row>
    <row r="29" spans="2:14" x14ac:dyDescent="0.25">
      <c r="B29" s="17">
        <f>SUMIFS(Transation[Debit],Transation[Account Head],Tri[[#This Row],[Account]],Transation[Reference],"&lt;&gt;JC*")</f>
        <v>0</v>
      </c>
      <c r="C29" s="17">
        <f>SUMIFS(Transation[Credit],Transation[Account Head],Tri[[#This Row],[Account]],Transation[Reference],"&lt;&gt;JC*")</f>
        <v>0</v>
      </c>
      <c r="E29" s="17">
        <f>ROUND(_xlfn.IFNA(IF(Tri[[#This Row],[IsCredit]],Tri[[#This Row],[Credit]]-Tri[[#This Row],[Debit]],Tri[[#This Row],[Debit]]-Tri[[#This Row],[Credit]]),0),4)</f>
        <v>0</v>
      </c>
      <c r="F29" s="17" t="b">
        <f>_xlfn.IFNA(VLOOKUP(Tri[[#This Row],[Type]],AccType[],4,FALSE),FALSE)</f>
        <v>0</v>
      </c>
      <c r="G29" s="17">
        <f>ROUND((SUMIFS(Transation[Debit],Transation[Account Head],Tri[[#This Row],[Account]])-SUMIFS(Transation[Credit],Transation[Account Head],Tri[[#This Row],[Account]]))*IF(Tri[[#This Row],[IsCredit]],-1,1),4)</f>
        <v>0</v>
      </c>
      <c r="H29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29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29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29" s="17">
        <f>SUM(Tri[[#This Row],[Cash]:[Jr]])</f>
        <v>0</v>
      </c>
      <c r="M29" s="36">
        <f t="array" aca="1" ref="M29" ca="1">_xlfn.IFNA(INDEX(Transation[Account Head],MATCH(0,COUNTIF(Lst_Acc[[#Headers],[AccHead]]:OFFSET(Lst_Acc[[#This Row],[AccHead]],-1,0),Transation[Account Head]),0)),)</f>
        <v>0</v>
      </c>
      <c r="N29" s="3" t="b">
        <f ca="1">_xlfn.IFNA(ISNUMBER(MATCH(Lst_Acc[[#This Row],[AccHead]],Tri[Account],0)),FALSE)</f>
        <v>0</v>
      </c>
    </row>
    <row r="30" spans="2:14" x14ac:dyDescent="0.25">
      <c r="B30" s="17">
        <f>SUMIFS(Transation[Debit],Transation[Account Head],Tri[[#This Row],[Account]],Transation[Reference],"&lt;&gt;JC*")</f>
        <v>0</v>
      </c>
      <c r="C30" s="17">
        <f>SUMIFS(Transation[Credit],Transation[Account Head],Tri[[#This Row],[Account]],Transation[Reference],"&lt;&gt;JC*")</f>
        <v>0</v>
      </c>
      <c r="E30" s="17">
        <f>ROUND(_xlfn.IFNA(IF(Tri[[#This Row],[IsCredit]],Tri[[#This Row],[Credit]]-Tri[[#This Row],[Debit]],Tri[[#This Row],[Debit]]-Tri[[#This Row],[Credit]]),0),4)</f>
        <v>0</v>
      </c>
      <c r="F30" s="17" t="b">
        <f>_xlfn.IFNA(VLOOKUP(Tri[[#This Row],[Type]],AccType[],4,FALSE),FALSE)</f>
        <v>0</v>
      </c>
      <c r="G30" s="17">
        <f>ROUND((SUMIFS(Transation[Debit],Transation[Account Head],Tri[[#This Row],[Account]])-SUMIFS(Transation[Credit],Transation[Account Head],Tri[[#This Row],[Account]]))*IF(Tri[[#This Row],[IsCredit]],-1,1),4)</f>
        <v>0</v>
      </c>
      <c r="H30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0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0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0" s="17">
        <f>SUM(Tri[[#This Row],[Cash]:[Jr]])</f>
        <v>0</v>
      </c>
      <c r="M30" s="36">
        <f t="array" aca="1" ref="M30" ca="1">_xlfn.IFNA(INDEX(Transation[Account Head],MATCH(0,COUNTIF(Lst_Acc[[#Headers],[AccHead]]:OFFSET(Lst_Acc[[#This Row],[AccHead]],-1,0),Transation[Account Head]),0)),)</f>
        <v>0</v>
      </c>
      <c r="N30" s="3" t="b">
        <f ca="1">_xlfn.IFNA(ISNUMBER(MATCH(Lst_Acc[[#This Row],[AccHead]],Tri[Account],0)),FALSE)</f>
        <v>0</v>
      </c>
    </row>
    <row r="31" spans="2:14" x14ac:dyDescent="0.25">
      <c r="B31" s="17">
        <f>SUMIFS(Transation[Debit],Transation[Account Head],Tri[[#This Row],[Account]],Transation[Reference],"&lt;&gt;JC*")</f>
        <v>0</v>
      </c>
      <c r="C31" s="17">
        <f>SUMIFS(Transation[Credit],Transation[Account Head],Tri[[#This Row],[Account]],Transation[Reference],"&lt;&gt;JC*")</f>
        <v>0</v>
      </c>
      <c r="E31" s="17">
        <f>ROUND(_xlfn.IFNA(IF(Tri[[#This Row],[IsCredit]],Tri[[#This Row],[Credit]]-Tri[[#This Row],[Debit]],Tri[[#This Row],[Debit]]-Tri[[#This Row],[Credit]]),0),4)</f>
        <v>0</v>
      </c>
      <c r="F31" s="17" t="b">
        <f>_xlfn.IFNA(VLOOKUP(Tri[[#This Row],[Type]],AccType[],4,FALSE),FALSE)</f>
        <v>0</v>
      </c>
      <c r="G31" s="17">
        <f>ROUND((SUMIFS(Transation[Debit],Transation[Account Head],Tri[[#This Row],[Account]])-SUMIFS(Transation[Credit],Transation[Account Head],Tri[[#This Row],[Account]]))*IF(Tri[[#This Row],[IsCredit]],-1,1),4)</f>
        <v>0</v>
      </c>
      <c r="H31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1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1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1" s="17">
        <f>SUM(Tri[[#This Row],[Cash]:[Jr]])</f>
        <v>0</v>
      </c>
      <c r="M31" s="36">
        <f t="array" aca="1" ref="M31" ca="1">_xlfn.IFNA(INDEX(Transation[Account Head],MATCH(0,COUNTIF(Lst_Acc[[#Headers],[AccHead]]:OFFSET(Lst_Acc[[#This Row],[AccHead]],-1,0),Transation[Account Head]),0)),)</f>
        <v>0</v>
      </c>
      <c r="N31" s="3" t="b">
        <f ca="1">_xlfn.IFNA(ISNUMBER(MATCH(Lst_Acc[[#This Row],[AccHead]],Tri[Account],0)),FALSE)</f>
        <v>0</v>
      </c>
    </row>
    <row r="32" spans="2:14" x14ac:dyDescent="0.25">
      <c r="B32" s="17">
        <f>SUMIFS(Transation[Debit],Transation[Account Head],Tri[[#This Row],[Account]],Transation[Reference],"&lt;&gt;JC*")</f>
        <v>0</v>
      </c>
      <c r="C32" s="17">
        <f>SUMIFS(Transation[Credit],Transation[Account Head],Tri[[#This Row],[Account]],Transation[Reference],"&lt;&gt;JC*")</f>
        <v>0</v>
      </c>
      <c r="E32" s="17">
        <f>ROUND(_xlfn.IFNA(IF(Tri[[#This Row],[IsCredit]],Tri[[#This Row],[Credit]]-Tri[[#This Row],[Debit]],Tri[[#This Row],[Debit]]-Tri[[#This Row],[Credit]]),0),4)</f>
        <v>0</v>
      </c>
      <c r="F32" s="17" t="b">
        <f>_xlfn.IFNA(VLOOKUP(Tri[[#This Row],[Type]],AccType[],4,FALSE),FALSE)</f>
        <v>0</v>
      </c>
      <c r="G32" s="17">
        <f>ROUND((SUMIFS(Transation[Debit],Transation[Account Head],Tri[[#This Row],[Account]])-SUMIFS(Transation[Credit],Transation[Account Head],Tri[[#This Row],[Account]]))*IF(Tri[[#This Row],[IsCredit]],-1,1),4)</f>
        <v>0</v>
      </c>
      <c r="H32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2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2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2" s="17">
        <f>SUM(Tri[[#This Row],[Cash]:[Jr]])</f>
        <v>0</v>
      </c>
      <c r="M32" s="36">
        <f t="array" aca="1" ref="M32" ca="1">_xlfn.IFNA(INDEX(Transation[Account Head],MATCH(0,COUNTIF(Lst_Acc[[#Headers],[AccHead]]:OFFSET(Lst_Acc[[#This Row],[AccHead]],-1,0),Transation[Account Head]),0)),)</f>
        <v>0</v>
      </c>
      <c r="N32" s="3" t="b">
        <f ca="1">_xlfn.IFNA(ISNUMBER(MATCH(Lst_Acc[[#This Row],[AccHead]],Tri[Account],0)),FALSE)</f>
        <v>0</v>
      </c>
    </row>
    <row r="33" spans="2:14" x14ac:dyDescent="0.25">
      <c r="B33" s="17">
        <f>SUMIFS(Transation[Debit],Transation[Account Head],Tri[[#This Row],[Account]],Transation[Reference],"&lt;&gt;JC*")</f>
        <v>0</v>
      </c>
      <c r="C33" s="17">
        <f>SUMIFS(Transation[Credit],Transation[Account Head],Tri[[#This Row],[Account]],Transation[Reference],"&lt;&gt;JC*")</f>
        <v>0</v>
      </c>
      <c r="E33" s="17">
        <f>ROUND(_xlfn.IFNA(IF(Tri[[#This Row],[IsCredit]],Tri[[#This Row],[Credit]]-Tri[[#This Row],[Debit]],Tri[[#This Row],[Debit]]-Tri[[#This Row],[Credit]]),0),4)</f>
        <v>0</v>
      </c>
      <c r="F33" s="17" t="b">
        <f>_xlfn.IFNA(VLOOKUP(Tri[[#This Row],[Type]],AccType[],4,FALSE),FALSE)</f>
        <v>0</v>
      </c>
      <c r="G33" s="17">
        <f>ROUND((SUMIFS(Transation[Debit],Transation[Account Head],Tri[[#This Row],[Account]])-SUMIFS(Transation[Credit],Transation[Account Head],Tri[[#This Row],[Account]]))*IF(Tri[[#This Row],[IsCredit]],-1,1),4)</f>
        <v>0</v>
      </c>
      <c r="H33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3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3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3" s="17">
        <f>SUM(Tri[[#This Row],[Cash]:[Jr]])</f>
        <v>0</v>
      </c>
      <c r="M33" s="36">
        <f t="array" aca="1" ref="M33" ca="1">_xlfn.IFNA(INDEX(Transation[Account Head],MATCH(0,COUNTIF(Lst_Acc[[#Headers],[AccHead]]:OFFSET(Lst_Acc[[#This Row],[AccHead]],-1,0),Transation[Account Head]),0)),)</f>
        <v>0</v>
      </c>
      <c r="N33" s="3" t="b">
        <f ca="1">_xlfn.IFNA(ISNUMBER(MATCH(Lst_Acc[[#This Row],[AccHead]],Tri[Account],0)),FALSE)</f>
        <v>0</v>
      </c>
    </row>
    <row r="34" spans="2:14" x14ac:dyDescent="0.25">
      <c r="B34" s="17">
        <f>SUMIFS(Transation[Debit],Transation[Account Head],Tri[[#This Row],[Account]],Transation[Reference],"&lt;&gt;JC*")</f>
        <v>0</v>
      </c>
      <c r="C34" s="17">
        <f>SUMIFS(Transation[Credit],Transation[Account Head],Tri[[#This Row],[Account]],Transation[Reference],"&lt;&gt;JC*")</f>
        <v>0</v>
      </c>
      <c r="E34" s="17">
        <f>ROUND(_xlfn.IFNA(IF(Tri[[#This Row],[IsCredit]],Tri[[#This Row],[Credit]]-Tri[[#This Row],[Debit]],Tri[[#This Row],[Debit]]-Tri[[#This Row],[Credit]]),0),4)</f>
        <v>0</v>
      </c>
      <c r="F34" s="17" t="b">
        <f>_xlfn.IFNA(VLOOKUP(Tri[[#This Row],[Type]],AccType[],4,FALSE),FALSE)</f>
        <v>0</v>
      </c>
      <c r="G34" s="17">
        <f>ROUND((SUMIFS(Transation[Debit],Transation[Account Head],Tri[[#This Row],[Account]])-SUMIFS(Transation[Credit],Transation[Account Head],Tri[[#This Row],[Account]]))*IF(Tri[[#This Row],[IsCredit]],-1,1),4)</f>
        <v>0</v>
      </c>
      <c r="H34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4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4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4" s="17">
        <f>SUM(Tri[[#This Row],[Cash]:[Jr]])</f>
        <v>0</v>
      </c>
      <c r="M34" s="36">
        <f t="array" aca="1" ref="M34" ca="1">_xlfn.IFNA(INDEX(Transation[Account Head],MATCH(0,COUNTIF(Lst_Acc[[#Headers],[AccHead]]:OFFSET(Lst_Acc[[#This Row],[AccHead]],-1,0),Transation[Account Head]),0)),)</f>
        <v>0</v>
      </c>
      <c r="N34" s="3" t="b">
        <f ca="1">_xlfn.IFNA(ISNUMBER(MATCH(Lst_Acc[[#This Row],[AccHead]],Tri[Account],0)),FALSE)</f>
        <v>0</v>
      </c>
    </row>
    <row r="35" spans="2:14" x14ac:dyDescent="0.25">
      <c r="B35" s="17">
        <f>SUMIFS(Transation[Debit],Transation[Account Head],Tri[[#This Row],[Account]],Transation[Reference],"&lt;&gt;JC*")</f>
        <v>0</v>
      </c>
      <c r="C35" s="17">
        <f>SUMIFS(Transation[Credit],Transation[Account Head],Tri[[#This Row],[Account]],Transation[Reference],"&lt;&gt;JC*")</f>
        <v>0</v>
      </c>
      <c r="E35" s="17">
        <f>ROUND(_xlfn.IFNA(IF(Tri[[#This Row],[IsCredit]],Tri[[#This Row],[Credit]]-Tri[[#This Row],[Debit]],Tri[[#This Row],[Debit]]-Tri[[#This Row],[Credit]]),0),4)</f>
        <v>0</v>
      </c>
      <c r="F35" s="17" t="b">
        <f>_xlfn.IFNA(VLOOKUP(Tri[[#This Row],[Type]],AccType[],4,FALSE),FALSE)</f>
        <v>0</v>
      </c>
      <c r="G35" s="17">
        <f>ROUND((SUMIFS(Transation[Debit],Transation[Account Head],Tri[[#This Row],[Account]])-SUMIFS(Transation[Credit],Transation[Account Head],Tri[[#This Row],[Account]]))*IF(Tri[[#This Row],[IsCredit]],-1,1),4)</f>
        <v>0</v>
      </c>
      <c r="H35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5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5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5" s="17">
        <f>SUM(Tri[[#This Row],[Cash]:[Jr]])</f>
        <v>0</v>
      </c>
      <c r="M35" s="36">
        <f t="array" aca="1" ref="M35" ca="1">_xlfn.IFNA(INDEX(Transation[Account Head],MATCH(0,COUNTIF(Lst_Acc[[#Headers],[AccHead]]:OFFSET(Lst_Acc[[#This Row],[AccHead]],-1,0),Transation[Account Head]),0)),)</f>
        <v>0</v>
      </c>
      <c r="N35" s="3" t="b">
        <f ca="1">_xlfn.IFNA(ISNUMBER(MATCH(Lst_Acc[[#This Row],[AccHead]],Tri[Account],0)),FALSE)</f>
        <v>0</v>
      </c>
    </row>
    <row r="36" spans="2:14" x14ac:dyDescent="0.25">
      <c r="B36" s="17">
        <f>SUMIFS(Transation[Debit],Transation[Account Head],Tri[[#This Row],[Account]],Transation[Reference],"&lt;&gt;JC*")</f>
        <v>0</v>
      </c>
      <c r="C36" s="17">
        <f>SUMIFS(Transation[Credit],Transation[Account Head],Tri[[#This Row],[Account]],Transation[Reference],"&lt;&gt;JC*")</f>
        <v>0</v>
      </c>
      <c r="E36" s="17">
        <f>ROUND(_xlfn.IFNA(IF(Tri[[#This Row],[IsCredit]],Tri[[#This Row],[Credit]]-Tri[[#This Row],[Debit]],Tri[[#This Row],[Debit]]-Tri[[#This Row],[Credit]]),0),4)</f>
        <v>0</v>
      </c>
      <c r="F36" s="17" t="b">
        <f>_xlfn.IFNA(VLOOKUP(Tri[[#This Row],[Type]],AccType[],4,FALSE),FALSE)</f>
        <v>0</v>
      </c>
      <c r="G36" s="17">
        <f>ROUND((SUMIFS(Transation[Debit],Transation[Account Head],Tri[[#This Row],[Account]])-SUMIFS(Transation[Credit],Transation[Account Head],Tri[[#This Row],[Account]]))*IF(Tri[[#This Row],[IsCredit]],-1,1),4)</f>
        <v>0</v>
      </c>
      <c r="H36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6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6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6" s="17">
        <f>SUM(Tri[[#This Row],[Cash]:[Jr]])</f>
        <v>0</v>
      </c>
      <c r="M36" s="36">
        <f t="array" aca="1" ref="M36" ca="1">_xlfn.IFNA(INDEX(Transation[Account Head],MATCH(0,COUNTIF(Lst_Acc[[#Headers],[AccHead]]:OFFSET(Lst_Acc[[#This Row],[AccHead]],-1,0),Transation[Account Head]),0)),)</f>
        <v>0</v>
      </c>
      <c r="N36" s="3" t="b">
        <f ca="1">_xlfn.IFNA(ISNUMBER(MATCH(Lst_Acc[[#This Row],[AccHead]],Tri[Account],0)),FALSE)</f>
        <v>0</v>
      </c>
    </row>
    <row r="37" spans="2:14" x14ac:dyDescent="0.25">
      <c r="B37" s="17">
        <f>SUMIFS(Transation[Debit],Transation[Account Head],Tri[[#This Row],[Account]],Transation[Reference],"&lt;&gt;JC*")</f>
        <v>0</v>
      </c>
      <c r="C37" s="17">
        <f>SUMIFS(Transation[Credit],Transation[Account Head],Tri[[#This Row],[Account]],Transation[Reference],"&lt;&gt;JC*")</f>
        <v>0</v>
      </c>
      <c r="E37" s="17">
        <f>ROUND(_xlfn.IFNA(IF(Tri[[#This Row],[IsCredit]],Tri[[#This Row],[Credit]]-Tri[[#This Row],[Debit]],Tri[[#This Row],[Debit]]-Tri[[#This Row],[Credit]]),0),4)</f>
        <v>0</v>
      </c>
      <c r="F37" s="17" t="b">
        <f>_xlfn.IFNA(VLOOKUP(Tri[[#This Row],[Type]],AccType[],4,FALSE),FALSE)</f>
        <v>0</v>
      </c>
      <c r="G37" s="17">
        <f>ROUND((SUMIFS(Transation[Debit],Transation[Account Head],Tri[[#This Row],[Account]])-SUMIFS(Transation[Credit],Transation[Account Head],Tri[[#This Row],[Account]]))*IF(Tri[[#This Row],[IsCredit]],-1,1),4)</f>
        <v>0</v>
      </c>
      <c r="H37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7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7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7" s="17">
        <f>SUM(Tri[[#This Row],[Cash]:[Jr]])</f>
        <v>0</v>
      </c>
      <c r="M37" s="36">
        <f t="array" aca="1" ref="M37" ca="1">_xlfn.IFNA(INDEX(Transation[Account Head],MATCH(0,COUNTIF(Lst_Acc[[#Headers],[AccHead]]:OFFSET(Lst_Acc[[#This Row],[AccHead]],-1,0),Transation[Account Head]),0)),)</f>
        <v>0</v>
      </c>
      <c r="N37" s="3" t="b">
        <f ca="1">_xlfn.IFNA(ISNUMBER(MATCH(Lst_Acc[[#This Row],[AccHead]],Tri[Account],0)),FALSE)</f>
        <v>0</v>
      </c>
    </row>
    <row r="38" spans="2:14" x14ac:dyDescent="0.25">
      <c r="B38" s="17">
        <f>SUMIFS(Transation[Debit],Transation[Account Head],Tri[[#This Row],[Account]],Transation[Reference],"&lt;&gt;JC*")</f>
        <v>0</v>
      </c>
      <c r="C38" s="17">
        <f>SUMIFS(Transation[Credit],Transation[Account Head],Tri[[#This Row],[Account]],Transation[Reference],"&lt;&gt;JC*")</f>
        <v>0</v>
      </c>
      <c r="E38" s="17">
        <f>ROUND(_xlfn.IFNA(IF(Tri[[#This Row],[IsCredit]],Tri[[#This Row],[Credit]]-Tri[[#This Row],[Debit]],Tri[[#This Row],[Debit]]-Tri[[#This Row],[Credit]]),0),4)</f>
        <v>0</v>
      </c>
      <c r="F38" s="17" t="b">
        <f>_xlfn.IFNA(VLOOKUP(Tri[[#This Row],[Type]],AccType[],4,FALSE),FALSE)</f>
        <v>0</v>
      </c>
      <c r="G38" s="17">
        <f>ROUND((SUMIFS(Transation[Debit],Transation[Account Head],Tri[[#This Row],[Account]])-SUMIFS(Transation[Credit],Transation[Account Head],Tri[[#This Row],[Account]]))*IF(Tri[[#This Row],[IsCredit]],-1,1),4)</f>
        <v>0</v>
      </c>
      <c r="H38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8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8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8" s="17">
        <f>SUM(Tri[[#This Row],[Cash]:[Jr]])</f>
        <v>0</v>
      </c>
      <c r="M38" s="36">
        <f t="array" aca="1" ref="M38" ca="1">_xlfn.IFNA(INDEX(Transation[Account Head],MATCH(0,COUNTIF(Lst_Acc[[#Headers],[AccHead]]:OFFSET(Lst_Acc[[#This Row],[AccHead]],-1,0),Transation[Account Head]),0)),)</f>
        <v>0</v>
      </c>
      <c r="N38" s="3" t="b">
        <f ca="1">_xlfn.IFNA(ISNUMBER(MATCH(Lst_Acc[[#This Row],[AccHead]],Tri[Account],0)),FALSE)</f>
        <v>0</v>
      </c>
    </row>
    <row r="39" spans="2:14" x14ac:dyDescent="0.25">
      <c r="B39" s="17">
        <f>SUMIFS(Transation[Debit],Transation[Account Head],Tri[[#This Row],[Account]],Transation[Reference],"&lt;&gt;JC*")</f>
        <v>0</v>
      </c>
      <c r="C39" s="17">
        <f>SUMIFS(Transation[Credit],Transation[Account Head],Tri[[#This Row],[Account]],Transation[Reference],"&lt;&gt;JC*")</f>
        <v>0</v>
      </c>
      <c r="E39" s="17">
        <f>ROUND(_xlfn.IFNA(IF(Tri[[#This Row],[IsCredit]],Tri[[#This Row],[Credit]]-Tri[[#This Row],[Debit]],Tri[[#This Row],[Debit]]-Tri[[#This Row],[Credit]]),0),4)</f>
        <v>0</v>
      </c>
      <c r="F39" s="17" t="b">
        <f>_xlfn.IFNA(VLOOKUP(Tri[[#This Row],[Type]],AccType[],4,FALSE),FALSE)</f>
        <v>0</v>
      </c>
      <c r="G39" s="17">
        <f>ROUND((SUMIFS(Transation[Debit],Transation[Account Head],Tri[[#This Row],[Account]])-SUMIFS(Transation[Credit],Transation[Account Head],Tri[[#This Row],[Account]]))*IF(Tri[[#This Row],[IsCredit]],-1,1),4)</f>
        <v>0</v>
      </c>
      <c r="H39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39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39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39" s="17">
        <f>SUM(Tri[[#This Row],[Cash]:[Jr]])</f>
        <v>0</v>
      </c>
      <c r="M39" s="36">
        <f t="array" aca="1" ref="M39" ca="1">_xlfn.IFNA(INDEX(Transation[Account Head],MATCH(0,COUNTIF(Lst_Acc[[#Headers],[AccHead]]:OFFSET(Lst_Acc[[#This Row],[AccHead]],-1,0),Transation[Account Head]),0)),)</f>
        <v>0</v>
      </c>
      <c r="N39" s="3" t="b">
        <f ca="1">_xlfn.IFNA(ISNUMBER(MATCH(Lst_Acc[[#This Row],[AccHead]],Tri[Account],0)),FALSE)</f>
        <v>0</v>
      </c>
    </row>
    <row r="40" spans="2:14" x14ac:dyDescent="0.25">
      <c r="B40" s="17">
        <f>SUMIFS(Transation[Debit],Transation[Account Head],Tri[[#This Row],[Account]],Transation[Reference],"&lt;&gt;JC*")</f>
        <v>0</v>
      </c>
      <c r="C40" s="17">
        <f>SUMIFS(Transation[Credit],Transation[Account Head],Tri[[#This Row],[Account]],Transation[Reference],"&lt;&gt;JC*")</f>
        <v>0</v>
      </c>
      <c r="E40" s="17">
        <f>ROUND(_xlfn.IFNA(IF(Tri[[#This Row],[IsCredit]],Tri[[#This Row],[Credit]]-Tri[[#This Row],[Debit]],Tri[[#This Row],[Debit]]-Tri[[#This Row],[Credit]]),0),4)</f>
        <v>0</v>
      </c>
      <c r="F40" s="17" t="b">
        <f>_xlfn.IFNA(VLOOKUP(Tri[[#This Row],[Type]],AccType[],4,FALSE),FALSE)</f>
        <v>0</v>
      </c>
      <c r="G40" s="17">
        <f>ROUND((SUMIFS(Transation[Debit],Transation[Account Head],Tri[[#This Row],[Account]])-SUMIFS(Transation[Credit],Transation[Account Head],Tri[[#This Row],[Account]]))*IF(Tri[[#This Row],[IsCredit]],-1,1),4)</f>
        <v>0</v>
      </c>
      <c r="H40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0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0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0" s="17">
        <f>SUM(Tri[[#This Row],[Cash]:[Jr]])</f>
        <v>0</v>
      </c>
      <c r="M40" s="36">
        <f t="array" aca="1" ref="M40" ca="1">_xlfn.IFNA(INDEX(Transation[Account Head],MATCH(0,COUNTIF(Lst_Acc[[#Headers],[AccHead]]:OFFSET(Lst_Acc[[#This Row],[AccHead]],-1,0),Transation[Account Head]),0)),)</f>
        <v>0</v>
      </c>
      <c r="N40" s="3" t="b">
        <f ca="1">_xlfn.IFNA(ISNUMBER(MATCH(Lst_Acc[[#This Row],[AccHead]],Tri[Account],0)),FALSE)</f>
        <v>0</v>
      </c>
    </row>
    <row r="41" spans="2:14" x14ac:dyDescent="0.25">
      <c r="B41" s="17">
        <f>SUMIFS(Transation[Debit],Transation[Account Head],Tri[[#This Row],[Account]],Transation[Reference],"&lt;&gt;JC*")</f>
        <v>0</v>
      </c>
      <c r="C41" s="17">
        <f>SUMIFS(Transation[Credit],Transation[Account Head],Tri[[#This Row],[Account]],Transation[Reference],"&lt;&gt;JC*")</f>
        <v>0</v>
      </c>
      <c r="E41" s="17">
        <f>ROUND(_xlfn.IFNA(IF(Tri[[#This Row],[IsCredit]],Tri[[#This Row],[Credit]]-Tri[[#This Row],[Debit]],Tri[[#This Row],[Debit]]-Tri[[#This Row],[Credit]]),0),4)</f>
        <v>0</v>
      </c>
      <c r="F41" s="17" t="b">
        <f>_xlfn.IFNA(VLOOKUP(Tri[[#This Row],[Type]],AccType[],4,FALSE),FALSE)</f>
        <v>0</v>
      </c>
      <c r="G41" s="17">
        <f>ROUND((SUMIFS(Transation[Debit],Transation[Account Head],Tri[[#This Row],[Account]])-SUMIFS(Transation[Credit],Transation[Account Head],Tri[[#This Row],[Account]]))*IF(Tri[[#This Row],[IsCredit]],-1,1),4)</f>
        <v>0</v>
      </c>
      <c r="H41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1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1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1" s="17">
        <f>SUM(Tri[[#This Row],[Cash]:[Jr]])</f>
        <v>0</v>
      </c>
      <c r="M41" s="36">
        <f t="array" aca="1" ref="M41" ca="1">_xlfn.IFNA(INDEX(Transation[Account Head],MATCH(0,COUNTIF(Lst_Acc[[#Headers],[AccHead]]:OFFSET(Lst_Acc[[#This Row],[AccHead]],-1,0),Transation[Account Head]),0)),)</f>
        <v>0</v>
      </c>
      <c r="N41" s="3" t="b">
        <f ca="1">_xlfn.IFNA(ISNUMBER(MATCH(Lst_Acc[[#This Row],[AccHead]],Tri[Account],0)),FALSE)</f>
        <v>0</v>
      </c>
    </row>
    <row r="42" spans="2:14" x14ac:dyDescent="0.25">
      <c r="B42" s="17">
        <f>SUMIFS(Transation[Debit],Transation[Account Head],Tri[[#This Row],[Account]],Transation[Reference],"&lt;&gt;JC*")</f>
        <v>0</v>
      </c>
      <c r="C42" s="17">
        <f>SUMIFS(Transation[Credit],Transation[Account Head],Tri[[#This Row],[Account]],Transation[Reference],"&lt;&gt;JC*")</f>
        <v>0</v>
      </c>
      <c r="E42" s="17">
        <f>ROUND(_xlfn.IFNA(IF(Tri[[#This Row],[IsCredit]],Tri[[#This Row],[Credit]]-Tri[[#This Row],[Debit]],Tri[[#This Row],[Debit]]-Tri[[#This Row],[Credit]]),0),4)</f>
        <v>0</v>
      </c>
      <c r="F42" s="17" t="b">
        <f>_xlfn.IFNA(VLOOKUP(Tri[[#This Row],[Type]],AccType[],4,FALSE),FALSE)</f>
        <v>0</v>
      </c>
      <c r="G42" s="17">
        <f>ROUND((SUMIFS(Transation[Debit],Transation[Account Head],Tri[[#This Row],[Account]])-SUMIFS(Transation[Credit],Transation[Account Head],Tri[[#This Row],[Account]]))*IF(Tri[[#This Row],[IsCredit]],-1,1),4)</f>
        <v>0</v>
      </c>
      <c r="H42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2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2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2" s="17">
        <f>SUM(Tri[[#This Row],[Cash]:[Jr]])</f>
        <v>0</v>
      </c>
      <c r="M42" s="36">
        <f t="array" aca="1" ref="M42" ca="1">_xlfn.IFNA(INDEX(Transation[Account Head],MATCH(0,COUNTIF(Lst_Acc[[#Headers],[AccHead]]:OFFSET(Lst_Acc[[#This Row],[AccHead]],-1,0),Transation[Account Head]),0)),)</f>
        <v>0</v>
      </c>
      <c r="N42" s="3" t="b">
        <f ca="1">_xlfn.IFNA(ISNUMBER(MATCH(Lst_Acc[[#This Row],[AccHead]],Tri[Account],0)),FALSE)</f>
        <v>0</v>
      </c>
    </row>
    <row r="43" spans="2:14" x14ac:dyDescent="0.25">
      <c r="B43" s="17">
        <f>SUMIFS(Transation[Debit],Transation[Account Head],Tri[[#This Row],[Account]],Transation[Reference],"&lt;&gt;JC*")</f>
        <v>0</v>
      </c>
      <c r="C43" s="17">
        <f>SUMIFS(Transation[Credit],Transation[Account Head],Tri[[#This Row],[Account]],Transation[Reference],"&lt;&gt;JC*")</f>
        <v>0</v>
      </c>
      <c r="E43" s="17">
        <f>ROUND(_xlfn.IFNA(IF(Tri[[#This Row],[IsCredit]],Tri[[#This Row],[Credit]]-Tri[[#This Row],[Debit]],Tri[[#This Row],[Debit]]-Tri[[#This Row],[Credit]]),0),4)</f>
        <v>0</v>
      </c>
      <c r="F43" s="17" t="b">
        <f>_xlfn.IFNA(VLOOKUP(Tri[[#This Row],[Type]],AccType[],4,FALSE),FALSE)</f>
        <v>0</v>
      </c>
      <c r="G43" s="17">
        <f>ROUND((SUMIFS(Transation[Debit],Transation[Account Head],Tri[[#This Row],[Account]])-SUMIFS(Transation[Credit],Transation[Account Head],Tri[[#This Row],[Account]]))*IF(Tri[[#This Row],[IsCredit]],-1,1),4)</f>
        <v>0</v>
      </c>
      <c r="H43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3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3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3" s="17">
        <f>SUM(Tri[[#This Row],[Cash]:[Jr]])</f>
        <v>0</v>
      </c>
      <c r="M43" s="36">
        <f t="array" aca="1" ref="M43" ca="1">_xlfn.IFNA(INDEX(Transation[Account Head],MATCH(0,COUNTIF(Lst_Acc[[#Headers],[AccHead]]:OFFSET(Lst_Acc[[#This Row],[AccHead]],-1,0),Transation[Account Head]),0)),)</f>
        <v>0</v>
      </c>
      <c r="N43" s="3" t="b">
        <f ca="1">_xlfn.IFNA(ISNUMBER(MATCH(Lst_Acc[[#This Row],[AccHead]],Tri[Account],0)),FALSE)</f>
        <v>0</v>
      </c>
    </row>
    <row r="44" spans="2:14" x14ac:dyDescent="0.25">
      <c r="B44" s="17">
        <f>SUMIFS(Transation[Debit],Transation[Account Head],Tri[[#This Row],[Account]],Transation[Reference],"&lt;&gt;JC*")</f>
        <v>0</v>
      </c>
      <c r="C44" s="17">
        <f>SUMIFS(Transation[Credit],Transation[Account Head],Tri[[#This Row],[Account]],Transation[Reference],"&lt;&gt;JC*")</f>
        <v>0</v>
      </c>
      <c r="E44" s="17">
        <f>ROUND(_xlfn.IFNA(IF(Tri[[#This Row],[IsCredit]],Tri[[#This Row],[Credit]]-Tri[[#This Row],[Debit]],Tri[[#This Row],[Debit]]-Tri[[#This Row],[Credit]]),0),4)</f>
        <v>0</v>
      </c>
      <c r="F44" s="17" t="b">
        <f>_xlfn.IFNA(VLOOKUP(Tri[[#This Row],[Type]],AccType[],4,FALSE),FALSE)</f>
        <v>0</v>
      </c>
      <c r="G44" s="17">
        <f>ROUND((SUMIFS(Transation[Debit],Transation[Account Head],Tri[[#This Row],[Account]])-SUMIFS(Transation[Credit],Transation[Account Head],Tri[[#This Row],[Account]]))*IF(Tri[[#This Row],[IsCredit]],-1,1),4)</f>
        <v>0</v>
      </c>
      <c r="H44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4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4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4" s="17">
        <f>SUM(Tri[[#This Row],[Cash]:[Jr]])</f>
        <v>0</v>
      </c>
      <c r="M44" s="36">
        <f t="array" aca="1" ref="M44" ca="1">_xlfn.IFNA(INDEX(Transation[Account Head],MATCH(0,COUNTIF(Lst_Acc[[#Headers],[AccHead]]:OFFSET(Lst_Acc[[#This Row],[AccHead]],-1,0),Transation[Account Head]),0)),)</f>
        <v>0</v>
      </c>
      <c r="N44" s="3" t="b">
        <f ca="1">_xlfn.IFNA(ISNUMBER(MATCH(Lst_Acc[[#This Row],[AccHead]],Tri[Account],0)),FALSE)</f>
        <v>0</v>
      </c>
    </row>
    <row r="45" spans="2:14" x14ac:dyDescent="0.25">
      <c r="B45" s="17">
        <f>SUMIFS(Transation[Debit],Transation[Account Head],Tri[[#This Row],[Account]],Transation[Reference],"&lt;&gt;JC*")</f>
        <v>0</v>
      </c>
      <c r="C45" s="17">
        <f>SUMIFS(Transation[Credit],Transation[Account Head],Tri[[#This Row],[Account]],Transation[Reference],"&lt;&gt;JC*")</f>
        <v>0</v>
      </c>
      <c r="E45" s="17">
        <f>ROUND(_xlfn.IFNA(IF(Tri[[#This Row],[IsCredit]],Tri[[#This Row],[Credit]]-Tri[[#This Row],[Debit]],Tri[[#This Row],[Debit]]-Tri[[#This Row],[Credit]]),0),4)</f>
        <v>0</v>
      </c>
      <c r="F45" s="17" t="b">
        <f>_xlfn.IFNA(VLOOKUP(Tri[[#This Row],[Type]],AccType[],4,FALSE),FALSE)</f>
        <v>0</v>
      </c>
      <c r="G45" s="17">
        <f>ROUND((SUMIFS(Transation[Debit],Transation[Account Head],Tri[[#This Row],[Account]])-SUMIFS(Transation[Credit],Transation[Account Head],Tri[[#This Row],[Account]]))*IF(Tri[[#This Row],[IsCredit]],-1,1),4)</f>
        <v>0</v>
      </c>
      <c r="H45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5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5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5" s="17">
        <f>SUM(Tri[[#This Row],[Cash]:[Jr]])</f>
        <v>0</v>
      </c>
      <c r="M45" s="36">
        <f t="array" aca="1" ref="M45" ca="1">_xlfn.IFNA(INDEX(Transation[Account Head],MATCH(0,COUNTIF(Lst_Acc[[#Headers],[AccHead]]:OFFSET(Lst_Acc[[#This Row],[AccHead]],-1,0),Transation[Account Head]),0)),)</f>
        <v>0</v>
      </c>
      <c r="N45" s="3" t="b">
        <f ca="1">_xlfn.IFNA(ISNUMBER(MATCH(Lst_Acc[[#This Row],[AccHead]],Tri[Account],0)),FALSE)</f>
        <v>0</v>
      </c>
    </row>
    <row r="46" spans="2:14" x14ac:dyDescent="0.25">
      <c r="B46" s="17">
        <f>SUMIFS(Transation[Debit],Transation[Account Head],Tri[[#This Row],[Account]],Transation[Reference],"&lt;&gt;JC*")</f>
        <v>0</v>
      </c>
      <c r="C46" s="17">
        <f>SUMIFS(Transation[Credit],Transation[Account Head],Tri[[#This Row],[Account]],Transation[Reference],"&lt;&gt;JC*")</f>
        <v>0</v>
      </c>
      <c r="E46" s="17">
        <f>ROUND(_xlfn.IFNA(IF(Tri[[#This Row],[IsCredit]],Tri[[#This Row],[Credit]]-Tri[[#This Row],[Debit]],Tri[[#This Row],[Debit]]-Tri[[#This Row],[Credit]]),0),4)</f>
        <v>0</v>
      </c>
      <c r="F46" s="17" t="b">
        <f>_xlfn.IFNA(VLOOKUP(Tri[[#This Row],[Type]],AccType[],4,FALSE),FALSE)</f>
        <v>0</v>
      </c>
      <c r="G46" s="17">
        <f>ROUND((SUMIFS(Transation[Debit],Transation[Account Head],Tri[[#This Row],[Account]])-SUMIFS(Transation[Credit],Transation[Account Head],Tri[[#This Row],[Account]]))*IF(Tri[[#This Row],[IsCredit]],-1,1),4)</f>
        <v>0</v>
      </c>
      <c r="H46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6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6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6" s="17">
        <f>SUM(Tri[[#This Row],[Cash]:[Jr]])</f>
        <v>0</v>
      </c>
      <c r="M46" s="36">
        <f t="array" aca="1" ref="M46" ca="1">_xlfn.IFNA(INDEX(Transation[Account Head],MATCH(0,COUNTIF(Lst_Acc[[#Headers],[AccHead]]:OFFSET(Lst_Acc[[#This Row],[AccHead]],-1,0),Transation[Account Head]),0)),)</f>
        <v>0</v>
      </c>
      <c r="N46" s="3" t="b">
        <f ca="1">_xlfn.IFNA(ISNUMBER(MATCH(Lst_Acc[[#This Row],[AccHead]],Tri[Account],0)),FALSE)</f>
        <v>0</v>
      </c>
    </row>
    <row r="47" spans="2:14" x14ac:dyDescent="0.25">
      <c r="B47" s="17">
        <f>SUMIFS(Transation[Debit],Transation[Account Head],Tri[[#This Row],[Account]],Transation[Reference],"&lt;&gt;JC*")</f>
        <v>0</v>
      </c>
      <c r="C47" s="17">
        <f>SUMIFS(Transation[Credit],Transation[Account Head],Tri[[#This Row],[Account]],Transation[Reference],"&lt;&gt;JC*")</f>
        <v>0</v>
      </c>
      <c r="E47" s="17">
        <f>ROUND(_xlfn.IFNA(IF(Tri[[#This Row],[IsCredit]],Tri[[#This Row],[Credit]]-Tri[[#This Row],[Debit]],Tri[[#This Row],[Debit]]-Tri[[#This Row],[Credit]]),0),4)</f>
        <v>0</v>
      </c>
      <c r="F47" s="17" t="b">
        <f>_xlfn.IFNA(VLOOKUP(Tri[[#This Row],[Type]],AccType[],4,FALSE),FALSE)</f>
        <v>0</v>
      </c>
      <c r="G47" s="17">
        <f>ROUND((SUMIFS(Transation[Debit],Transation[Account Head],Tri[[#This Row],[Account]])-SUMIFS(Transation[Credit],Transation[Account Head],Tri[[#This Row],[Account]]))*IF(Tri[[#This Row],[IsCredit]],-1,1),4)</f>
        <v>0</v>
      </c>
      <c r="H47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7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7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7" s="17">
        <f>SUM(Tri[[#This Row],[Cash]:[Jr]])</f>
        <v>0</v>
      </c>
      <c r="M47" s="36">
        <f t="array" aca="1" ref="M47" ca="1">_xlfn.IFNA(INDEX(Transation[Account Head],MATCH(0,COUNTIF(Lst_Acc[[#Headers],[AccHead]]:OFFSET(Lst_Acc[[#This Row],[AccHead]],-1,0),Transation[Account Head]),0)),)</f>
        <v>0</v>
      </c>
      <c r="N47" s="3" t="b">
        <f ca="1">_xlfn.IFNA(ISNUMBER(MATCH(Lst_Acc[[#This Row],[AccHead]],Tri[Account],0)),FALSE)</f>
        <v>0</v>
      </c>
    </row>
    <row r="48" spans="2:14" x14ac:dyDescent="0.25">
      <c r="B48" s="17">
        <f>SUMIFS(Transation[Debit],Transation[Account Head],Tri[[#This Row],[Account]],Transation[Reference],"&lt;&gt;JC*")</f>
        <v>0</v>
      </c>
      <c r="C48" s="17">
        <f>SUMIFS(Transation[Credit],Transation[Account Head],Tri[[#This Row],[Account]],Transation[Reference],"&lt;&gt;JC*")</f>
        <v>0</v>
      </c>
      <c r="E48" s="17">
        <f>ROUND(_xlfn.IFNA(IF(Tri[[#This Row],[IsCredit]],Tri[[#This Row],[Credit]]-Tri[[#This Row],[Debit]],Tri[[#This Row],[Debit]]-Tri[[#This Row],[Credit]]),0),4)</f>
        <v>0</v>
      </c>
      <c r="F48" s="17" t="b">
        <f>_xlfn.IFNA(VLOOKUP(Tri[[#This Row],[Type]],AccType[],4,FALSE),FALSE)</f>
        <v>0</v>
      </c>
      <c r="G48" s="17">
        <f>ROUND((SUMIFS(Transation[Debit],Transation[Account Head],Tri[[#This Row],[Account]])-SUMIFS(Transation[Credit],Transation[Account Head],Tri[[#This Row],[Account]]))*IF(Tri[[#This Row],[IsCredit]],-1,1),4)</f>
        <v>0</v>
      </c>
      <c r="H48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8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8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8" s="17">
        <f>SUM(Tri[[#This Row],[Cash]:[Jr]])</f>
        <v>0</v>
      </c>
      <c r="M48" s="36">
        <f t="array" aca="1" ref="M48" ca="1">_xlfn.IFNA(INDEX(Transation[Account Head],MATCH(0,COUNTIF(Lst_Acc[[#Headers],[AccHead]]:OFFSET(Lst_Acc[[#This Row],[AccHead]],-1,0),Transation[Account Head]),0)),)</f>
        <v>0</v>
      </c>
      <c r="N48" s="3" t="b">
        <f ca="1">_xlfn.IFNA(ISNUMBER(MATCH(Lst_Acc[[#This Row],[AccHead]],Tri[Account],0)),FALSE)</f>
        <v>0</v>
      </c>
    </row>
    <row r="49" spans="1:14" x14ac:dyDescent="0.25">
      <c r="B49" s="17">
        <f>SUMIFS(Transation[Debit],Transation[Account Head],Tri[[#This Row],[Account]],Transation[Reference],"&lt;&gt;JC*")</f>
        <v>0</v>
      </c>
      <c r="C49" s="17">
        <f>SUMIFS(Transation[Credit],Transation[Account Head],Tri[[#This Row],[Account]],Transation[Reference],"&lt;&gt;JC*")</f>
        <v>0</v>
      </c>
      <c r="E49" s="17">
        <f>ROUND(_xlfn.IFNA(IF(Tri[[#This Row],[IsCredit]],Tri[[#This Row],[Credit]]-Tri[[#This Row],[Debit]],Tri[[#This Row],[Debit]]-Tri[[#This Row],[Credit]]),0),4)</f>
        <v>0</v>
      </c>
      <c r="F49" s="17" t="b">
        <f>_xlfn.IFNA(VLOOKUP(Tri[[#This Row],[Type]],AccType[],4,FALSE),FALSE)</f>
        <v>0</v>
      </c>
      <c r="G49" s="17">
        <f>ROUND((SUMIFS(Transation[Debit],Transation[Account Head],Tri[[#This Row],[Account]])-SUMIFS(Transation[Credit],Transation[Account Head],Tri[[#This Row],[Account]]))*IF(Tri[[#This Row],[IsCredit]],-1,1),4)</f>
        <v>0</v>
      </c>
      <c r="H49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49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49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49" s="17">
        <f>SUM(Tri[[#This Row],[Cash]:[Jr]])</f>
        <v>0</v>
      </c>
      <c r="M49" s="36">
        <f t="array" aca="1" ref="M49" ca="1">_xlfn.IFNA(INDEX(Transation[Account Head],MATCH(0,COUNTIF(Lst_Acc[[#Headers],[AccHead]]:OFFSET(Lst_Acc[[#This Row],[AccHead]],-1,0),Transation[Account Head]),0)),)</f>
        <v>0</v>
      </c>
      <c r="N49" s="3" t="b">
        <f ca="1">_xlfn.IFNA(ISNUMBER(MATCH(Lst_Acc[[#This Row],[AccHead]],Tri[Account],0)),FALSE)</f>
        <v>0</v>
      </c>
    </row>
    <row r="50" spans="1:14" x14ac:dyDescent="0.25">
      <c r="B50" s="17">
        <f>SUMIFS(Transation[Debit],Transation[Account Head],Tri[[#This Row],[Account]],Transation[Reference],"&lt;&gt;JC*")</f>
        <v>0</v>
      </c>
      <c r="C50" s="17">
        <f>SUMIFS(Transation[Credit],Transation[Account Head],Tri[[#This Row],[Account]],Transation[Reference],"&lt;&gt;JC*")</f>
        <v>0</v>
      </c>
      <c r="E50" s="17">
        <f>ROUND(_xlfn.IFNA(IF(Tri[[#This Row],[IsCredit]],Tri[[#This Row],[Credit]]-Tri[[#This Row],[Debit]],Tri[[#This Row],[Debit]]-Tri[[#This Row],[Credit]]),0),4)</f>
        <v>0</v>
      </c>
      <c r="F50" s="17" t="b">
        <f>_xlfn.IFNA(VLOOKUP(Tri[[#This Row],[Type]],AccType[],4,FALSE),FALSE)</f>
        <v>0</v>
      </c>
      <c r="G50" s="17">
        <f>ROUND((SUMIFS(Transation[Debit],Transation[Account Head],Tri[[#This Row],[Account]])-SUMIFS(Transation[Credit],Transation[Account Head],Tri[[#This Row],[Account]]))*IF(Tri[[#This Row],[IsCredit]],-1,1),4)</f>
        <v>0</v>
      </c>
      <c r="H50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0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0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0" s="17">
        <f>SUM(Tri[[#This Row],[Cash]:[Jr]])</f>
        <v>0</v>
      </c>
      <c r="M50" s="36">
        <f t="array" aca="1" ref="M50" ca="1">_xlfn.IFNA(INDEX(Transation[Account Head],MATCH(0,COUNTIF(Lst_Acc[[#Headers],[AccHead]]:OFFSET(Lst_Acc[[#This Row],[AccHead]],-1,0),Transation[Account Head]),0)),)</f>
        <v>0</v>
      </c>
      <c r="N50" s="3" t="b">
        <f ca="1">_xlfn.IFNA(ISNUMBER(MATCH(Lst_Acc[[#This Row],[AccHead]],Tri[Account],0)),FALSE)</f>
        <v>0</v>
      </c>
    </row>
    <row r="51" spans="1:14" x14ac:dyDescent="0.25">
      <c r="B51" s="17">
        <f>SUMIFS(Transation[Debit],Transation[Account Head],Tri[[#This Row],[Account]],Transation[Reference],"&lt;&gt;JC*")</f>
        <v>0</v>
      </c>
      <c r="C51" s="17">
        <f>SUMIFS(Transation[Credit],Transation[Account Head],Tri[[#This Row],[Account]],Transation[Reference],"&lt;&gt;JC*")</f>
        <v>0</v>
      </c>
      <c r="E51" s="17">
        <f>ROUND(_xlfn.IFNA(IF(Tri[[#This Row],[IsCredit]],Tri[[#This Row],[Credit]]-Tri[[#This Row],[Debit]],Tri[[#This Row],[Debit]]-Tri[[#This Row],[Credit]]),0),4)</f>
        <v>0</v>
      </c>
      <c r="F51" s="17" t="b">
        <f>_xlfn.IFNA(VLOOKUP(Tri[[#This Row],[Type]],AccType[],4,FALSE),FALSE)</f>
        <v>0</v>
      </c>
      <c r="G51" s="17">
        <f>ROUND((SUMIFS(Transation[Debit],Transation[Account Head],Tri[[#This Row],[Account]])-SUMIFS(Transation[Credit],Transation[Account Head],Tri[[#This Row],[Account]]))*IF(Tri[[#This Row],[IsCredit]],-1,1),4)</f>
        <v>0</v>
      </c>
      <c r="H51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1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1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1" s="17">
        <f>SUM(Tri[[#This Row],[Cash]:[Jr]])</f>
        <v>0</v>
      </c>
      <c r="M51" s="36">
        <f t="array" aca="1" ref="M51" ca="1">_xlfn.IFNA(INDEX(Transation[Account Head],MATCH(0,COUNTIF(Lst_Acc[[#Headers],[AccHead]]:OFFSET(Lst_Acc[[#This Row],[AccHead]],-1,0),Transation[Account Head]),0)),)</f>
        <v>0</v>
      </c>
      <c r="N51" s="3" t="b">
        <f ca="1">_xlfn.IFNA(ISNUMBER(MATCH(Lst_Acc[[#This Row],[AccHead]],Tri[Account],0)),FALSE)</f>
        <v>0</v>
      </c>
    </row>
    <row r="52" spans="1:14" x14ac:dyDescent="0.25">
      <c r="B52" s="17">
        <f>SUMIFS(Transation[Debit],Transation[Account Head],Tri[[#This Row],[Account]],Transation[Reference],"&lt;&gt;JC*")</f>
        <v>0</v>
      </c>
      <c r="C52" s="17">
        <f>SUMIFS(Transation[Credit],Transation[Account Head],Tri[[#This Row],[Account]],Transation[Reference],"&lt;&gt;JC*")</f>
        <v>0</v>
      </c>
      <c r="E52" s="17">
        <f>ROUND(_xlfn.IFNA(IF(Tri[[#This Row],[IsCredit]],Tri[[#This Row],[Credit]]-Tri[[#This Row],[Debit]],Tri[[#This Row],[Debit]]-Tri[[#This Row],[Credit]]),0),4)</f>
        <v>0</v>
      </c>
      <c r="F52" s="17" t="b">
        <f>_xlfn.IFNA(VLOOKUP(Tri[[#This Row],[Type]],AccType[],4,FALSE),FALSE)</f>
        <v>0</v>
      </c>
      <c r="G52" s="17">
        <f>ROUND((SUMIFS(Transation[Debit],Transation[Account Head],Tri[[#This Row],[Account]])-SUMIFS(Transation[Credit],Transation[Account Head],Tri[[#This Row],[Account]]))*IF(Tri[[#This Row],[IsCredit]],-1,1),4)</f>
        <v>0</v>
      </c>
      <c r="H52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2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2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2" s="17">
        <f>SUM(Tri[[#This Row],[Cash]:[Jr]])</f>
        <v>0</v>
      </c>
      <c r="M52" s="36">
        <f t="array" aca="1" ref="M52" ca="1">_xlfn.IFNA(INDEX(Transation[Account Head],MATCH(0,COUNTIF(Lst_Acc[[#Headers],[AccHead]]:OFFSET(Lst_Acc[[#This Row],[AccHead]],-1,0),Transation[Account Head]),0)),)</f>
        <v>0</v>
      </c>
      <c r="N52" s="3" t="b">
        <f ca="1">_xlfn.IFNA(ISNUMBER(MATCH(Lst_Acc[[#This Row],[AccHead]],Tri[Account],0)),FALSE)</f>
        <v>0</v>
      </c>
    </row>
    <row r="53" spans="1:14" x14ac:dyDescent="0.25">
      <c r="B53" s="17">
        <f>SUMIFS(Transation[Debit],Transation[Account Head],Tri[[#This Row],[Account]],Transation[Reference],"&lt;&gt;JC*")</f>
        <v>0</v>
      </c>
      <c r="C53" s="17">
        <f>SUMIFS(Transation[Credit],Transation[Account Head],Tri[[#This Row],[Account]],Transation[Reference],"&lt;&gt;JC*")</f>
        <v>0</v>
      </c>
      <c r="E53" s="17">
        <f>ROUND(_xlfn.IFNA(IF(Tri[[#This Row],[IsCredit]],Tri[[#This Row],[Credit]]-Tri[[#This Row],[Debit]],Tri[[#This Row],[Debit]]-Tri[[#This Row],[Credit]]),0),4)</f>
        <v>0</v>
      </c>
      <c r="F53" s="17" t="b">
        <f>_xlfn.IFNA(VLOOKUP(Tri[[#This Row],[Type]],AccType[],4,FALSE),FALSE)</f>
        <v>0</v>
      </c>
      <c r="G53" s="17">
        <f>ROUND((SUMIFS(Transation[Debit],Transation[Account Head],Tri[[#This Row],[Account]])-SUMIFS(Transation[Credit],Transation[Account Head],Tri[[#This Row],[Account]]))*IF(Tri[[#This Row],[IsCredit]],-1,1),4)</f>
        <v>0</v>
      </c>
      <c r="H53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3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3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3" s="17">
        <f>SUM(Tri[[#This Row],[Cash]:[Jr]])</f>
        <v>0</v>
      </c>
      <c r="M53" s="36">
        <f t="array" aca="1" ref="M53" ca="1">_xlfn.IFNA(INDEX(Transation[Account Head],MATCH(0,COUNTIF(Lst_Acc[[#Headers],[AccHead]]:OFFSET(Lst_Acc[[#This Row],[AccHead]],-1,0),Transation[Account Head]),0)),)</f>
        <v>0</v>
      </c>
      <c r="N53" s="3" t="b">
        <f ca="1">_xlfn.IFNA(ISNUMBER(MATCH(Lst_Acc[[#This Row],[AccHead]],Tri[Account],0)),FALSE)</f>
        <v>0</v>
      </c>
    </row>
    <row r="54" spans="1:14" x14ac:dyDescent="0.25">
      <c r="B54" s="17">
        <f>SUMIFS(Transation[Debit],Transation[Account Head],Tri[[#This Row],[Account]],Transation[Reference],"&lt;&gt;JC*")</f>
        <v>0</v>
      </c>
      <c r="C54" s="17">
        <f>SUMIFS(Transation[Credit],Transation[Account Head],Tri[[#This Row],[Account]],Transation[Reference],"&lt;&gt;JC*")</f>
        <v>0</v>
      </c>
      <c r="E54" s="17">
        <f>ROUND(_xlfn.IFNA(IF(Tri[[#This Row],[IsCredit]],Tri[[#This Row],[Credit]]-Tri[[#This Row],[Debit]],Tri[[#This Row],[Debit]]-Tri[[#This Row],[Credit]]),0),4)</f>
        <v>0</v>
      </c>
      <c r="F54" s="17" t="b">
        <f>_xlfn.IFNA(VLOOKUP(Tri[[#This Row],[Type]],AccType[],4,FALSE),FALSE)</f>
        <v>0</v>
      </c>
      <c r="G54" s="17">
        <f>ROUND((SUMIFS(Transation[Debit],Transation[Account Head],Tri[[#This Row],[Account]])-SUMIFS(Transation[Credit],Transation[Account Head],Tri[[#This Row],[Account]]))*IF(Tri[[#This Row],[IsCredit]],-1,1),4)</f>
        <v>0</v>
      </c>
      <c r="H54" s="17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4" s="17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4" s="17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4" s="17">
        <f>SUM(Tri[[#This Row],[Cash]:[Jr]])</f>
        <v>0</v>
      </c>
      <c r="M54" s="36">
        <f t="array" aca="1" ref="M54" ca="1">_xlfn.IFNA(INDEX(Transation[Account Head],MATCH(0,COUNTIF(Lst_Acc[[#Headers],[AccHead]]:OFFSET(Lst_Acc[[#This Row],[AccHead]],-1,0),Transation[Account Head]),0)),)</f>
        <v>0</v>
      </c>
      <c r="N54" s="3" t="b">
        <f ca="1">_xlfn.IFNA(ISNUMBER(MATCH(Lst_Acc[[#This Row],[AccHead]],Tri[Account],0)),FALSE)</f>
        <v>0</v>
      </c>
    </row>
    <row r="55" spans="1:14" x14ac:dyDescent="0.25">
      <c r="A55" s="78"/>
      <c r="B55" s="79">
        <f>SUMIFS(Transation[Debit],Transation[Account Head],Tri[[#This Row],[Account]],Transation[Reference],"&lt;&gt;JC*")</f>
        <v>0</v>
      </c>
      <c r="C55" s="79">
        <f>SUMIFS(Transation[Credit],Transation[Account Head],Tri[[#This Row],[Account]],Transation[Reference],"&lt;&gt;JC*")</f>
        <v>0</v>
      </c>
      <c r="D55" s="80"/>
      <c r="E55" s="81">
        <f>ROUND(_xlfn.IFNA(IF(Tri[[#This Row],[IsCredit]],Tri[[#This Row],[Credit]]-Tri[[#This Row],[Debit]],Tri[[#This Row],[Debit]]-Tri[[#This Row],[Credit]]),0),4)</f>
        <v>0</v>
      </c>
      <c r="F55" s="79" t="b">
        <f>_xlfn.IFNA(VLOOKUP(Tri[[#This Row],[Type]],AccType[],4,FALSE),FALSE)</f>
        <v>0</v>
      </c>
      <c r="G55" s="79">
        <f>ROUND((SUMIFS(Transation[Debit],Transation[Account Head],Tri[[#This Row],[Account]])-SUMIFS(Transation[Credit],Transation[Account Head],Tri[[#This Row],[Account]]))*IF(Tri[[#This Row],[IsCredit]],-1,1),4)</f>
        <v>0</v>
      </c>
      <c r="H55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5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5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5" s="81">
        <f>SUM(Tri[[#This Row],[Cash]:[Jr]])</f>
        <v>0</v>
      </c>
      <c r="M55" s="36">
        <f t="array" aca="1" ref="M55" ca="1">_xlfn.IFNA(INDEX(Transation[Account Head],MATCH(0,COUNTIF(Lst_Acc[[#Headers],[AccHead]]:OFFSET(Lst_Acc[[#This Row],[AccHead]],-1,0),Transation[Account Head]),0)),)</f>
        <v>0</v>
      </c>
      <c r="N55" s="3" t="b">
        <f ca="1">_xlfn.IFNA(ISNUMBER(MATCH(Lst_Acc[[#This Row],[AccHead]],Tri[Account],0)),FALSE)</f>
        <v>0</v>
      </c>
    </row>
    <row r="56" spans="1:14" x14ac:dyDescent="0.25">
      <c r="A56" s="78"/>
      <c r="B56" s="79">
        <f>SUMIFS(Transation[Debit],Transation[Account Head],Tri[[#This Row],[Account]],Transation[Reference],"&lt;&gt;JC*")</f>
        <v>0</v>
      </c>
      <c r="C56" s="79">
        <f>SUMIFS(Transation[Credit],Transation[Account Head],Tri[[#This Row],[Account]],Transation[Reference],"&lt;&gt;JC*")</f>
        <v>0</v>
      </c>
      <c r="D56" s="80"/>
      <c r="E56" s="81">
        <f>ROUND(_xlfn.IFNA(IF(Tri[[#This Row],[IsCredit]],Tri[[#This Row],[Credit]]-Tri[[#This Row],[Debit]],Tri[[#This Row],[Debit]]-Tri[[#This Row],[Credit]]),0),4)</f>
        <v>0</v>
      </c>
      <c r="F56" s="79" t="b">
        <f>_xlfn.IFNA(VLOOKUP(Tri[[#This Row],[Type]],AccType[],4,FALSE),FALSE)</f>
        <v>0</v>
      </c>
      <c r="G56" s="79">
        <f>ROUND((SUMIFS(Transation[Debit],Transation[Account Head],Tri[[#This Row],[Account]])-SUMIFS(Transation[Credit],Transation[Account Head],Tri[[#This Row],[Account]]))*IF(Tri[[#This Row],[IsCredit]],-1,1),4)</f>
        <v>0</v>
      </c>
      <c r="H56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6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6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6" s="81">
        <f>SUM(Tri[[#This Row],[Cash]:[Jr]])</f>
        <v>0</v>
      </c>
      <c r="M56" s="36">
        <f t="array" aca="1" ref="M56" ca="1">_xlfn.IFNA(INDEX(Transation[Account Head],MATCH(0,COUNTIF(Lst_Acc[[#Headers],[AccHead]]:OFFSET(Lst_Acc[[#This Row],[AccHead]],-1,0),Transation[Account Head]),0)),)</f>
        <v>0</v>
      </c>
      <c r="N56" s="3" t="b">
        <f ca="1">_xlfn.IFNA(ISNUMBER(MATCH(Lst_Acc[[#This Row],[AccHead]],Tri[Account],0)),FALSE)</f>
        <v>0</v>
      </c>
    </row>
    <row r="57" spans="1:14" x14ac:dyDescent="0.25">
      <c r="A57" s="78"/>
      <c r="B57" s="79">
        <f>SUMIFS(Transation[Debit],Transation[Account Head],Tri[[#This Row],[Account]],Transation[Reference],"&lt;&gt;JC*")</f>
        <v>0</v>
      </c>
      <c r="C57" s="79">
        <f>SUMIFS(Transation[Credit],Transation[Account Head],Tri[[#This Row],[Account]],Transation[Reference],"&lt;&gt;JC*")</f>
        <v>0</v>
      </c>
      <c r="D57" s="80"/>
      <c r="E57" s="81">
        <f>ROUND(_xlfn.IFNA(IF(Tri[[#This Row],[IsCredit]],Tri[[#This Row],[Credit]]-Tri[[#This Row],[Debit]],Tri[[#This Row],[Debit]]-Tri[[#This Row],[Credit]]),0),4)</f>
        <v>0</v>
      </c>
      <c r="F57" s="79" t="b">
        <f>_xlfn.IFNA(VLOOKUP(Tri[[#This Row],[Type]],AccType[],4,FALSE),FALSE)</f>
        <v>0</v>
      </c>
      <c r="G57" s="79">
        <f>ROUND((SUMIFS(Transation[Debit],Transation[Account Head],Tri[[#This Row],[Account]])-SUMIFS(Transation[Credit],Transation[Account Head],Tri[[#This Row],[Account]]))*IF(Tri[[#This Row],[IsCredit]],-1,1),4)</f>
        <v>0</v>
      </c>
      <c r="H57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7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7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7" s="81">
        <f>SUM(Tri[[#This Row],[Cash]:[Jr]])</f>
        <v>0</v>
      </c>
      <c r="M57" s="36">
        <f t="array" aca="1" ref="M57" ca="1">_xlfn.IFNA(INDEX(Transation[Account Head],MATCH(0,COUNTIF(Lst_Acc[[#Headers],[AccHead]]:OFFSET(Lst_Acc[[#This Row],[AccHead]],-1,0),Transation[Account Head]),0)),)</f>
        <v>0</v>
      </c>
      <c r="N57" s="3" t="b">
        <f ca="1">_xlfn.IFNA(ISNUMBER(MATCH(Lst_Acc[[#This Row],[AccHead]],Tri[Account],0)),FALSE)</f>
        <v>0</v>
      </c>
    </row>
    <row r="58" spans="1:14" x14ac:dyDescent="0.25">
      <c r="A58" s="78"/>
      <c r="B58" s="79">
        <f>SUMIFS(Transation[Debit],Transation[Account Head],Tri[[#This Row],[Account]],Transation[Reference],"&lt;&gt;JC*")</f>
        <v>0</v>
      </c>
      <c r="C58" s="79">
        <f>SUMIFS(Transation[Credit],Transation[Account Head],Tri[[#This Row],[Account]],Transation[Reference],"&lt;&gt;JC*")</f>
        <v>0</v>
      </c>
      <c r="D58" s="80"/>
      <c r="E58" s="81">
        <f>ROUND(_xlfn.IFNA(IF(Tri[[#This Row],[IsCredit]],Tri[[#This Row],[Credit]]-Tri[[#This Row],[Debit]],Tri[[#This Row],[Debit]]-Tri[[#This Row],[Credit]]),0),4)</f>
        <v>0</v>
      </c>
      <c r="F58" s="79" t="b">
        <f>_xlfn.IFNA(VLOOKUP(Tri[[#This Row],[Type]],AccType[],4,FALSE),FALSE)</f>
        <v>0</v>
      </c>
      <c r="G58" s="79">
        <f>ROUND((SUMIFS(Transation[Debit],Transation[Account Head],Tri[[#This Row],[Account]])-SUMIFS(Transation[Credit],Transation[Account Head],Tri[[#This Row],[Account]]))*IF(Tri[[#This Row],[IsCredit]],-1,1),4)</f>
        <v>0</v>
      </c>
      <c r="H58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8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8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8" s="81">
        <f>SUM(Tri[[#This Row],[Cash]:[Jr]])</f>
        <v>0</v>
      </c>
      <c r="M58" s="36">
        <f t="array" aca="1" ref="M58" ca="1">_xlfn.IFNA(INDEX(Transation[Account Head],MATCH(0,COUNTIF(Lst_Acc[[#Headers],[AccHead]]:OFFSET(Lst_Acc[[#This Row],[AccHead]],-1,0),Transation[Account Head]),0)),)</f>
        <v>0</v>
      </c>
      <c r="N58" s="3" t="b">
        <f ca="1">_xlfn.IFNA(ISNUMBER(MATCH(Lst_Acc[[#This Row],[AccHead]],Tri[Account],0)),FALSE)</f>
        <v>0</v>
      </c>
    </row>
    <row r="59" spans="1:14" x14ac:dyDescent="0.25">
      <c r="A59" s="78"/>
      <c r="B59" s="79">
        <f>SUMIFS(Transation[Debit],Transation[Account Head],Tri[[#This Row],[Account]],Transation[Reference],"&lt;&gt;JC*")</f>
        <v>0</v>
      </c>
      <c r="C59" s="79">
        <f>SUMIFS(Transation[Credit],Transation[Account Head],Tri[[#This Row],[Account]],Transation[Reference],"&lt;&gt;JC*")</f>
        <v>0</v>
      </c>
      <c r="D59" s="80"/>
      <c r="E59" s="81">
        <f>ROUND(_xlfn.IFNA(IF(Tri[[#This Row],[IsCredit]],Tri[[#This Row],[Credit]]-Tri[[#This Row],[Debit]],Tri[[#This Row],[Debit]]-Tri[[#This Row],[Credit]]),0),4)</f>
        <v>0</v>
      </c>
      <c r="F59" s="79" t="b">
        <f>_xlfn.IFNA(VLOOKUP(Tri[[#This Row],[Type]],AccType[],4,FALSE),FALSE)</f>
        <v>0</v>
      </c>
      <c r="G59" s="79">
        <f>ROUND((SUMIFS(Transation[Debit],Transation[Account Head],Tri[[#This Row],[Account]])-SUMIFS(Transation[Credit],Transation[Account Head],Tri[[#This Row],[Account]]))*IF(Tri[[#This Row],[IsCredit]],-1,1),4)</f>
        <v>0</v>
      </c>
      <c r="H59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59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59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59" s="81">
        <f>SUM(Tri[[#This Row],[Cash]:[Jr]])</f>
        <v>0</v>
      </c>
    </row>
    <row r="60" spans="1:14" x14ac:dyDescent="0.25">
      <c r="A60" s="78"/>
      <c r="B60" s="79">
        <f>SUMIFS(Transation[Debit],Transation[Account Head],Tri[[#This Row],[Account]],Transation[Reference],"&lt;&gt;JC*")</f>
        <v>0</v>
      </c>
      <c r="C60" s="79">
        <f>SUMIFS(Transation[Credit],Transation[Account Head],Tri[[#This Row],[Account]],Transation[Reference],"&lt;&gt;JC*")</f>
        <v>0</v>
      </c>
      <c r="D60" s="80"/>
      <c r="E60" s="81">
        <f>ROUND(_xlfn.IFNA(IF(Tri[[#This Row],[IsCredit]],Tri[[#This Row],[Credit]]-Tri[[#This Row],[Debit]],Tri[[#This Row],[Debit]]-Tri[[#This Row],[Credit]]),0),4)</f>
        <v>0</v>
      </c>
      <c r="F60" s="79" t="b">
        <f>_xlfn.IFNA(VLOOKUP(Tri[[#This Row],[Type]],AccType[],4,FALSE),FALSE)</f>
        <v>0</v>
      </c>
      <c r="G60" s="79">
        <f>ROUND((SUMIFS(Transation[Debit],Transation[Account Head],Tri[[#This Row],[Account]])-SUMIFS(Transation[Credit],Transation[Account Head],Tri[[#This Row],[Account]]))*IF(Tri[[#This Row],[IsCredit]],-1,1),4)</f>
        <v>0</v>
      </c>
      <c r="H60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60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60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60" s="81">
        <f>SUM(Tri[[#This Row],[Cash]:[Jr]])</f>
        <v>0</v>
      </c>
    </row>
    <row r="61" spans="1:14" x14ac:dyDescent="0.25">
      <c r="A61" s="78"/>
      <c r="B61" s="79">
        <f>SUMIFS(Transation[Debit],Transation[Account Head],Tri[[#This Row],[Account]],Transation[Reference],"&lt;&gt;JC*")</f>
        <v>0</v>
      </c>
      <c r="C61" s="79">
        <f>SUMIFS(Transation[Credit],Transation[Account Head],Tri[[#This Row],[Account]],Transation[Reference],"&lt;&gt;JC*")</f>
        <v>0</v>
      </c>
      <c r="D61" s="80"/>
      <c r="E61" s="81">
        <f>ROUND(_xlfn.IFNA(IF(Tri[[#This Row],[IsCredit]],Tri[[#This Row],[Credit]]-Tri[[#This Row],[Debit]],Tri[[#This Row],[Debit]]-Tri[[#This Row],[Credit]]),0),4)</f>
        <v>0</v>
      </c>
      <c r="F61" s="79" t="b">
        <f>_xlfn.IFNA(VLOOKUP(Tri[[#This Row],[Type]],AccType[],4,FALSE),FALSE)</f>
        <v>0</v>
      </c>
      <c r="G61" s="79">
        <f>ROUND((SUMIFS(Transation[Debit],Transation[Account Head],Tri[[#This Row],[Account]])-SUMIFS(Transation[Credit],Transation[Account Head],Tri[[#This Row],[Account]]))*IF(Tri[[#This Row],[IsCredit]],-1,1),4)</f>
        <v>0</v>
      </c>
      <c r="H61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61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61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61" s="81">
        <f>SUM(Tri[[#This Row],[Cash]:[Jr]])</f>
        <v>0</v>
      </c>
    </row>
    <row r="62" spans="1:14" x14ac:dyDescent="0.25">
      <c r="A62" s="78"/>
      <c r="B62" s="79">
        <f>SUMIFS(Transation[Debit],Transation[Account Head],Tri[[#This Row],[Account]],Transation[Reference],"&lt;&gt;JC*")</f>
        <v>0</v>
      </c>
      <c r="C62" s="79">
        <f>SUMIFS(Transation[Credit],Transation[Account Head],Tri[[#This Row],[Account]],Transation[Reference],"&lt;&gt;JC*")</f>
        <v>0</v>
      </c>
      <c r="D62" s="80"/>
      <c r="E62" s="81">
        <f>ROUND(_xlfn.IFNA(IF(Tri[[#This Row],[IsCredit]],Tri[[#This Row],[Credit]]-Tri[[#This Row],[Debit]],Tri[[#This Row],[Debit]]-Tri[[#This Row],[Credit]]),0),4)</f>
        <v>0</v>
      </c>
      <c r="F62" s="79" t="b">
        <f>_xlfn.IFNA(VLOOKUP(Tri[[#This Row],[Type]],AccType[],4,FALSE),FALSE)</f>
        <v>0</v>
      </c>
      <c r="G62" s="79">
        <f>ROUND((SUMIFS(Transation[Debit],Transation[Account Head],Tri[[#This Row],[Account]])-SUMIFS(Transation[Credit],Transation[Account Head],Tri[[#This Row],[Account]]))*IF(Tri[[#This Row],[IsCredit]],-1,1),4)</f>
        <v>0</v>
      </c>
      <c r="H62" s="79">
        <f>ROUND(SUMIFS(Transation[Receipt (Debit)],Transation[Account Head],Tri[[#This Row],[Account]],Transation[Reference],"&lt;&gt;Opening")-SUMIFS(Transation[Payment (Credit)],Transation[Account Head],Tri[[#This Row],[Account]],Transation[Reference],"&lt;&gt;Opening"),4)</f>
        <v>0</v>
      </c>
      <c r="I62" s="79">
        <f>ROUND(SUMIFS(Transation[Deposit],Transation[Account Head],Tri[[#This Row],[Account]],Transation[Reference],"&lt;&gt;Opening")-SUMIFS(Transation[Withdraw],Transation[Account Head],Tri[[#This Row],[Account]],Transation[Reference],"&lt;&gt;Opening"),4)</f>
        <v>0</v>
      </c>
      <c r="J62" s="79">
        <f>ROUND(-SUMIFS(Transation[Jr-Dr],Transation[Account Head],Tri[[#This Row],[Account]],Transation[Is Contra],"&lt;&gt;TRUE",Transation[Reference],"&lt;&gt;Opening",Transation[Reference],"&lt;&gt;JC*")+SUMIFS(Transation[Jr-Cr],Transation[Account Head],Tri[[#This Row],[Account]],Transation[Is Contra],"&lt;&gt;TRUE",Transation[Reference],"&lt;&gt;Opening",Transation[Reference],"&lt;&gt;JC*"),4)</f>
        <v>0</v>
      </c>
      <c r="K62" s="81">
        <f>SUM(Tri[[#This Row],[Cash]:[Jr]])</f>
        <v>0</v>
      </c>
    </row>
    <row r="63" spans="1:14" x14ac:dyDescent="0.25">
      <c r="A63" s="74" t="s">
        <v>31</v>
      </c>
      <c r="B63" s="75">
        <f>SUBTOTAL(109,Tri[Debit])</f>
        <v>0</v>
      </c>
      <c r="C63" s="75">
        <f>SUBTOTAL(109,Tri[Credit])</f>
        <v>0</v>
      </c>
      <c r="D63" s="76"/>
      <c r="E63" s="75">
        <f>SUBTOTAL(109,Tri[Balance])</f>
        <v>0</v>
      </c>
      <c r="F63" s="75"/>
      <c r="G63" s="77"/>
      <c r="H63" s="75">
        <f>SUBTOTAL(109,Tri[Cash])</f>
        <v>0</v>
      </c>
      <c r="I63" s="75">
        <f>SUBTOTAL(109,Tri[Bank])</f>
        <v>0</v>
      </c>
      <c r="J63" s="75">
        <f>SUBTOTAL(109,Tri[Jr])</f>
        <v>0</v>
      </c>
      <c r="K63" s="75">
        <f>SUBTOTAL(109,Tri[Net CF])</f>
        <v>0</v>
      </c>
    </row>
  </sheetData>
  <conditionalFormatting sqref="N2:N43 N64:N1048576">
    <cfRule type="containsText" dxfId="70" priority="4" operator="containsText" text="FALSE">
      <formula>NOT(ISERROR(SEARCH("FALSE",N2)))</formula>
    </cfRule>
  </conditionalFormatting>
  <conditionalFormatting sqref="N44:N47">
    <cfRule type="containsText" dxfId="69" priority="2" operator="containsText" text="FALSE">
      <formula>NOT(ISERROR(SEARCH("FALSE",N44)))</formula>
    </cfRule>
  </conditionalFormatting>
  <conditionalFormatting sqref="N48:N63">
    <cfRule type="containsText" dxfId="68" priority="1" operator="containsText" text="FALSE">
      <formula>NOT(ISERROR(SEARCH("FALSE",N48)))</formula>
    </cfRule>
  </conditionalFormatting>
  <pageMargins left="0.7" right="0.7" top="0.75" bottom="0.75" header="0.3" footer="0.3"/>
  <pageSetup paperSize="9" orientation="portrait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Ace!$N$2:$N$32</xm:f>
          </x14:formula1>
          <xm:sqref>D9:D62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Q41"/>
  <sheetViews>
    <sheetView zoomScaleNormal="100" workbookViewId="0">
      <selection activeCell="B17" sqref="B17"/>
    </sheetView>
  </sheetViews>
  <sheetFormatPr defaultColWidth="8.88671875" defaultRowHeight="13.8" x14ac:dyDescent="0.25"/>
  <cols>
    <col min="1" max="1" width="49.109375" style="3" customWidth="1"/>
    <col min="2" max="2" width="20.6640625" style="3" customWidth="1"/>
    <col min="3" max="3" width="1.109375" style="4" customWidth="1"/>
    <col min="4" max="4" width="23.6640625" style="3" customWidth="1"/>
    <col min="5" max="6" width="20.6640625" style="3" customWidth="1"/>
    <col min="7" max="7" width="1.109375" style="4" customWidth="1"/>
    <col min="8" max="8" width="27.109375" style="3" customWidth="1"/>
    <col min="9" max="9" width="20.6640625" style="3" customWidth="1"/>
    <col min="10" max="10" width="1.109375" style="4" customWidth="1"/>
    <col min="11" max="12" width="20.6640625" style="3" customWidth="1"/>
    <col min="13" max="13" width="1.109375" style="4" customWidth="1"/>
    <col min="14" max="14" width="29.109375" style="3" customWidth="1"/>
    <col min="15" max="16" width="20.6640625" style="3" customWidth="1"/>
    <col min="17" max="16384" width="8.88671875" style="3"/>
  </cols>
  <sheetData>
    <row r="1" spans="1:17" x14ac:dyDescent="0.25">
      <c r="A1" s="101" t="s">
        <v>97</v>
      </c>
      <c r="C1" s="6"/>
      <c r="D1" s="101" t="s">
        <v>94</v>
      </c>
      <c r="E1" s="5"/>
      <c r="F1" s="5"/>
      <c r="G1" s="6"/>
      <c r="H1" s="12" t="s">
        <v>95</v>
      </c>
      <c r="I1" s="5"/>
      <c r="K1" s="12" t="s">
        <v>96</v>
      </c>
      <c r="N1" s="3" t="s">
        <v>15</v>
      </c>
      <c r="O1" s="18" t="s">
        <v>67</v>
      </c>
      <c r="P1" s="18" t="s">
        <v>68</v>
      </c>
      <c r="Q1" s="3" t="s">
        <v>25</v>
      </c>
    </row>
    <row r="2" spans="1:17" ht="14.4" thickBot="1" x14ac:dyDescent="0.3">
      <c r="A2" s="3" t="s">
        <v>35</v>
      </c>
      <c r="B2" s="3" t="s">
        <v>36</v>
      </c>
      <c r="D2" s="3" t="s">
        <v>35</v>
      </c>
      <c r="E2" s="3" t="s">
        <v>3</v>
      </c>
      <c r="F2" s="3" t="s">
        <v>4</v>
      </c>
      <c r="H2" s="3" t="s">
        <v>35</v>
      </c>
      <c r="I2" s="3" t="s">
        <v>36</v>
      </c>
      <c r="K2" s="3" t="s">
        <v>35</v>
      </c>
      <c r="L2" s="3" t="s">
        <v>36</v>
      </c>
      <c r="N2" s="3" t="s">
        <v>29</v>
      </c>
      <c r="O2" s="18">
        <f>SUMIF(Tri[Type],AccType[[#This Row],[Type]],Tri[Cash])</f>
        <v>0</v>
      </c>
      <c r="P2" s="18">
        <f>SUMIF(Tri[Type],AccType[[#This Row],[Type]],Tri[Bank])</f>
        <v>0</v>
      </c>
      <c r="Q2" s="3" t="b">
        <v>0</v>
      </c>
    </row>
    <row r="3" spans="1:17" ht="14.4" thickBot="1" x14ac:dyDescent="0.3">
      <c r="A3" s="7" t="s">
        <v>42</v>
      </c>
      <c r="B3" s="8">
        <f>IS[[#Totals],[Amount]]</f>
        <v>0</v>
      </c>
      <c r="D3" s="3" t="s">
        <v>29</v>
      </c>
      <c r="E3" s="27">
        <f>SUMIFS(Tri[Balance],Tri[IsCredit],FALSE,Tri[Type],FP[[#This Row],[Particular]])</f>
        <v>0</v>
      </c>
      <c r="F3" s="3">
        <f>SUMIFS(Tri[Balance],Tri[IsCredit],TRUE,Tri[Type],FP[[#This Row],[Particular]])</f>
        <v>0</v>
      </c>
      <c r="H3" s="3" t="s">
        <v>12</v>
      </c>
      <c r="I3" s="3">
        <f>SUMIF(Tri[Type],CIE[[#This Row],[Particular]],Tri[Balance])</f>
        <v>0</v>
      </c>
      <c r="K3" s="3" t="s">
        <v>77</v>
      </c>
      <c r="L3" s="3">
        <f>SUMIF(Tri[Type],IS[[#This Row],[Particular]],Tri[Balance])</f>
        <v>0</v>
      </c>
      <c r="N3" s="3" t="s">
        <v>90</v>
      </c>
      <c r="O3" s="18">
        <f>SUMIF(Tri[Type],AccType[[#This Row],[Type]],Tri[Cash])</f>
        <v>0</v>
      </c>
      <c r="P3" s="18">
        <f>SUMIF(Tri[Type],AccType[[#This Row],[Type]],Tri[Bank])</f>
        <v>0</v>
      </c>
      <c r="Q3" s="3" t="b">
        <v>0</v>
      </c>
    </row>
    <row r="4" spans="1:17" ht="14.4" thickBot="1" x14ac:dyDescent="0.3">
      <c r="A4" s="3" t="s">
        <v>41</v>
      </c>
      <c r="B4" s="3">
        <f>-L9</f>
        <v>0</v>
      </c>
      <c r="D4" s="3" t="s">
        <v>17</v>
      </c>
      <c r="E4" s="28">
        <f>-SUMIFS(Tri[Balance],Tri[IsCredit],TRUE,Tri[Type],FP[[#This Row],[Particular]])</f>
        <v>0</v>
      </c>
      <c r="F4" s="3">
        <f>SUMIFS(Tri[Balance],Tri[IsCredit],TRUE,Tri[Type],FP[[#This Row],[Particular]])*0</f>
        <v>0</v>
      </c>
      <c r="H4" s="18" t="s">
        <v>47</v>
      </c>
      <c r="I4" s="3">
        <f>-SUMIF(Tri[Type],CIE[[#This Row],[Particular]],Tri[Balance])</f>
        <v>0</v>
      </c>
      <c r="K4" s="3" t="s">
        <v>19</v>
      </c>
      <c r="L4" s="3">
        <f>-SUMIF(Tri[Type],IS[[#This Row],[Particular]],Tri[Balance])</f>
        <v>0</v>
      </c>
      <c r="N4" s="3" t="s">
        <v>78</v>
      </c>
      <c r="O4" s="18">
        <f>SUMIF(Tri[Type],AccType[[#This Row],[Type]],Tri[Cash])</f>
        <v>0</v>
      </c>
      <c r="P4" s="18">
        <f>SUMIF(Tri[Type],AccType[[#This Row],[Type]],Tri[Bank])</f>
        <v>0</v>
      </c>
      <c r="Q4" s="3" t="b">
        <v>0</v>
      </c>
    </row>
    <row r="5" spans="1:17" ht="14.4" thickBot="1" x14ac:dyDescent="0.3">
      <c r="A5" s="3" t="s">
        <v>40</v>
      </c>
      <c r="B5" s="3">
        <f>I8</f>
        <v>0</v>
      </c>
      <c r="D5" s="3" t="s">
        <v>90</v>
      </c>
      <c r="E5" s="72">
        <f>SUMIFS(Tri[Balance],Tri[IsCredit],FALSE,Tri[Type],FP[[#This Row],[Particular]])</f>
        <v>0</v>
      </c>
      <c r="F5" s="73">
        <f>SUMIFS(Tri[Balance],Tri[IsCredit],TRUE,Tri[Type],FP[[#This Row],[Particular]])</f>
        <v>0</v>
      </c>
      <c r="H5" s="3" t="s">
        <v>54</v>
      </c>
      <c r="I5" s="3">
        <f>SUMIF(Tri[Type],CIE[[#This Row],[Particular]],Tri[Balance])</f>
        <v>0</v>
      </c>
      <c r="K5" s="7" t="s">
        <v>37</v>
      </c>
      <c r="L5" s="8">
        <f>SUBTOTAL(9,L3:L4)</f>
        <v>0</v>
      </c>
      <c r="N5" s="3" t="s">
        <v>17</v>
      </c>
      <c r="O5" s="18">
        <f>SUMIF(Tri[Type],AccType[[#This Row],[Type]],Tri[Cash])</f>
        <v>0</v>
      </c>
      <c r="P5" s="18">
        <f>SUMIF(Tri[Type],AccType[[#This Row],[Type]],Tri[Bank])</f>
        <v>0</v>
      </c>
      <c r="Q5" s="3" t="b">
        <v>1</v>
      </c>
    </row>
    <row r="6" spans="1:17" ht="14.4" thickBot="1" x14ac:dyDescent="0.3">
      <c r="A6" s="3" t="s">
        <v>47</v>
      </c>
      <c r="B6" s="3">
        <f>I4</f>
        <v>0</v>
      </c>
      <c r="D6" s="3" t="s">
        <v>78</v>
      </c>
      <c r="E6" s="29">
        <f>SUMIFS(Tri[Balance],Tri[IsCredit],FALSE,Tri[Type],FP[[#This Row],[Particular]])</f>
        <v>0</v>
      </c>
      <c r="F6" s="3">
        <f>SUMIFS(Tri[Balance],Tri[IsCredit],TRUE,Tri[Type],FP[[#This Row],[Particular]])</f>
        <v>0</v>
      </c>
      <c r="H6" s="18" t="s">
        <v>39</v>
      </c>
      <c r="I6" s="18">
        <f>-SUMIF(Tri[Type],CIE[[#This Row],[Particular]],Tri[Balance])</f>
        <v>0</v>
      </c>
      <c r="K6" s="3" t="s">
        <v>24</v>
      </c>
      <c r="L6" s="3">
        <f>SUMIF(Tri[Type],IS[[#This Row],[Particular]],Tri[Balance])</f>
        <v>0</v>
      </c>
      <c r="N6" s="3" t="s">
        <v>81</v>
      </c>
      <c r="O6" s="18">
        <f>SUMIF(Tri[Type],AccType[[#This Row],[Type]],Tri[Cash])</f>
        <v>0</v>
      </c>
      <c r="P6" s="18">
        <f>SUMIF(Tri[Type],AccType[[#This Row],[Type]],Tri[Bank])</f>
        <v>0</v>
      </c>
      <c r="Q6" s="3" t="b">
        <v>0</v>
      </c>
    </row>
    <row r="7" spans="1:17" ht="14.4" thickBot="1" x14ac:dyDescent="0.3">
      <c r="A7" s="7" t="s">
        <v>49</v>
      </c>
      <c r="B7" s="8">
        <f>SUBTOTAL(109,B3:B6)</f>
        <v>0</v>
      </c>
      <c r="D7" s="3" t="s">
        <v>81</v>
      </c>
      <c r="E7" s="27">
        <f>SUMIFS(Tri[Balance],Tri[IsCredit],FALSE,Tri[Type],FP[[#This Row],[Particular]])</f>
        <v>0</v>
      </c>
      <c r="F7" s="3">
        <f>SUMIFS(Tri[Balance],Tri[IsCredit],TRUE,Tri[Type],FP[[#This Row],[Particular]])</f>
        <v>0</v>
      </c>
      <c r="H7" s="3" t="s">
        <v>38</v>
      </c>
      <c r="I7" s="3">
        <f>-SUMIF(Tri[Type],CIE[[#This Row],[Particular]],Tri[Balance])</f>
        <v>0</v>
      </c>
      <c r="K7" s="3" t="s">
        <v>18</v>
      </c>
      <c r="L7" s="3">
        <f>-SUMIF(Tri[Type],IS[[#This Row],[Particular]],Tri[Balance])</f>
        <v>0</v>
      </c>
      <c r="N7" s="3" t="s">
        <v>79</v>
      </c>
      <c r="O7" s="18">
        <f>SUMIF(Tri[Type],AccType[[#This Row],[Type]],Tri[Cash])</f>
        <v>0</v>
      </c>
      <c r="P7" s="18">
        <f>SUMIF(Tri[Type],AccType[[#This Row],[Type]],Tri[Bank])</f>
        <v>0</v>
      </c>
      <c r="Q7" s="3" t="b">
        <v>0</v>
      </c>
    </row>
    <row r="8" spans="1:17" ht="14.4" thickBot="1" x14ac:dyDescent="0.3">
      <c r="A8" s="3" t="s">
        <v>81</v>
      </c>
      <c r="B8" s="3">
        <f>SUMIF(Tri[Type],CF[[#This Row],[Particular]],Tri[Net CF])</f>
        <v>0</v>
      </c>
      <c r="D8" s="18" t="s">
        <v>79</v>
      </c>
      <c r="E8" s="28">
        <f>SUMIFS(Tri[Balance],Tri[IsCredit],FALSE,Tri[Type],FP[[#This Row],[Particular]])</f>
        <v>0</v>
      </c>
      <c r="F8" s="3">
        <f>SUMIFS(Tri[Balance],Tri[IsCredit],TRUE,Tri[Type],FP[[#This Row],[Particular]])</f>
        <v>0</v>
      </c>
      <c r="H8" s="3" t="s">
        <v>40</v>
      </c>
      <c r="I8" s="3">
        <f>-SUMIF(Tri[Type],CIE[[#This Row],[Particular]],Tri[Balance])</f>
        <v>0</v>
      </c>
      <c r="K8" s="18" t="s">
        <v>91</v>
      </c>
      <c r="L8" s="3">
        <f>-SUMIF(Tri[Type],IS[[#This Row],[Particular]],Tri[Balance])</f>
        <v>0</v>
      </c>
      <c r="N8" s="3" t="s">
        <v>80</v>
      </c>
      <c r="O8" s="18">
        <f>SUMIF(Tri[Type],AccType[[#This Row],[Type]],Tri[Cash])</f>
        <v>0</v>
      </c>
      <c r="P8" s="18">
        <f>SUMIF(Tri[Type],AccType[[#This Row],[Type]],Tri[Bank])</f>
        <v>0</v>
      </c>
      <c r="Q8" s="3" t="b">
        <v>0</v>
      </c>
    </row>
    <row r="9" spans="1:17" ht="14.4" thickBot="1" x14ac:dyDescent="0.3">
      <c r="A9" s="18" t="s">
        <v>79</v>
      </c>
      <c r="B9" s="3">
        <f>SUMIF(Tri[Type],CF[[#This Row],[Particular]],Tri[Net CF])</f>
        <v>0</v>
      </c>
      <c r="D9" s="18" t="s">
        <v>80</v>
      </c>
      <c r="E9" s="28">
        <f>SUMIFS(Tri[Balance],Tri[IsCredit],FALSE,Tri[Type],FP[[#This Row],[Particular]])</f>
        <v>0</v>
      </c>
      <c r="F9" s="3">
        <f>SUMIFS(Tri[Balance],Tri[IsCredit],TRUE,Tri[Type],FP[[#This Row],[Particular]])</f>
        <v>0</v>
      </c>
      <c r="H9" s="3" t="s">
        <v>42</v>
      </c>
      <c r="I9" s="9">
        <f>IS[[#Totals],[Amount]]</f>
        <v>0</v>
      </c>
      <c r="K9" s="3" t="s">
        <v>41</v>
      </c>
      <c r="L9" s="3">
        <f>-SUMIF(Tri[Type],IS[[#This Row],[Particular]],Tri[Balance])</f>
        <v>0</v>
      </c>
      <c r="N9" s="65" t="s">
        <v>98</v>
      </c>
      <c r="O9" s="66">
        <f>SUMIF(Tri[Type],AccType[[#This Row],[Type]],Tri[Cash])</f>
        <v>0</v>
      </c>
      <c r="P9" s="66">
        <f>SUMIF(Tri[Type],AccType[[#This Row],[Type]],Tri[Bank])</f>
        <v>0</v>
      </c>
      <c r="Q9" s="3" t="b">
        <v>0</v>
      </c>
    </row>
    <row r="10" spans="1:17" x14ac:dyDescent="0.25">
      <c r="A10" s="18" t="s">
        <v>80</v>
      </c>
      <c r="B10" s="3">
        <f>SUMIF(Tri[Type],CF[[#This Row],[Particular]],Tri[Net CF])</f>
        <v>0</v>
      </c>
      <c r="D10" s="65" t="s">
        <v>98</v>
      </c>
      <c r="E10" s="68">
        <f>SUMIFS(Tri[Balance],Tri[IsCredit],FALSE,Tri[Type],FP[[#This Row],[Particular]])</f>
        <v>0</v>
      </c>
      <c r="F10" s="66">
        <f>SUMIFS(Tri[Balance],Tri[IsCredit],TRUE,Tri[Type],FP[[#This Row],[Particular]])</f>
        <v>0</v>
      </c>
      <c r="H10" s="23" t="s">
        <v>43</v>
      </c>
      <c r="I10" s="23">
        <f>ROUND(SUBTOTAL(109,CIE[Amount]),4)</f>
        <v>0</v>
      </c>
      <c r="K10" s="71" t="s">
        <v>92</v>
      </c>
      <c r="L10" s="71">
        <f>ROUND(SUBTOTAL(109,IS[Amount]),4)</f>
        <v>0</v>
      </c>
      <c r="N10" s="3" t="s">
        <v>99</v>
      </c>
      <c r="O10" s="18">
        <f>SUMIF(Tri[Type],AccType[[#This Row],[Type]],Tri[Cash])</f>
        <v>0</v>
      </c>
      <c r="P10" s="18">
        <f>SUMIF(Tri[Type],AccType[[#This Row],[Type]],Tri[Bank])</f>
        <v>0</v>
      </c>
      <c r="Q10" s="3" t="b">
        <v>0</v>
      </c>
    </row>
    <row r="11" spans="1:17" ht="14.4" thickBot="1" x14ac:dyDescent="0.3">
      <c r="A11" s="65" t="s">
        <v>98</v>
      </c>
      <c r="B11" s="3">
        <f>SUMIF(Tri[Type],CF[[#This Row],[Particular]],Tri[Net CF])</f>
        <v>0</v>
      </c>
      <c r="D11" s="3" t="s">
        <v>99</v>
      </c>
      <c r="E11" s="28">
        <f>SUMIFS(Tri[Balance],Tri[IsCredit],FALSE,Tri[Type],FP[[#This Row],[Particular]])</f>
        <v>0</v>
      </c>
      <c r="F11" s="3">
        <f>SUMIFS(Tri[Balance],Tri[IsCredit],TRUE,Tri[Type],FP[[#This Row],[Particular]])</f>
        <v>0</v>
      </c>
      <c r="N11" s="3" t="s">
        <v>23</v>
      </c>
      <c r="O11" s="18">
        <f>SUMIF(Tri[Type],AccType[[#This Row],[Type]],Tri[Cash])</f>
        <v>0</v>
      </c>
      <c r="P11" s="18">
        <f>SUMIF(Tri[Type],AccType[[#This Row],[Type]],Tri[Bank])</f>
        <v>0</v>
      </c>
      <c r="Q11" s="3" t="b">
        <v>0</v>
      </c>
    </row>
    <row r="12" spans="1:17" ht="14.4" thickBot="1" x14ac:dyDescent="0.3">
      <c r="A12" s="3" t="s">
        <v>99</v>
      </c>
      <c r="B12" s="3">
        <f>SUMIF(Tri[Type],CF[[#This Row],[Particular]],Tri[Net CF])</f>
        <v>0</v>
      </c>
      <c r="D12" s="7" t="s">
        <v>5</v>
      </c>
      <c r="E12" s="13">
        <f>CashBalance</f>
        <v>0</v>
      </c>
      <c r="F12" s="7">
        <f>SUMIFS(Tri[Balance],Tri[IsCredit],TRUE,Tri[Type],FP[[#This Row],[Particular]])</f>
        <v>0</v>
      </c>
      <c r="N12" s="3" t="s">
        <v>20</v>
      </c>
      <c r="O12" s="18">
        <f>SUMIF(Tri[Type],AccType[[#This Row],[Type]],Tri[Cash])</f>
        <v>0</v>
      </c>
      <c r="P12" s="18">
        <f>SUMIF(Tri[Type],AccType[[#This Row],[Type]],Tri[Bank])</f>
        <v>0</v>
      </c>
      <c r="Q12" s="3" t="b">
        <v>1</v>
      </c>
    </row>
    <row r="13" spans="1:17" ht="14.4" thickBot="1" x14ac:dyDescent="0.3">
      <c r="A13" s="3" t="s">
        <v>23</v>
      </c>
      <c r="B13" s="3">
        <f>SUMIF(Tri[Type],CF[[#This Row],[Particular]],Tri[Net CF])</f>
        <v>0</v>
      </c>
      <c r="C13" s="15"/>
      <c r="D13" s="7" t="s">
        <v>8</v>
      </c>
      <c r="E13" s="14">
        <f>BankBalance</f>
        <v>0</v>
      </c>
      <c r="F13" s="7">
        <f>SUMIFS(Tri[Balance],Tri[IsCredit],TRUE,Tri[Type],FP[[#This Row],[Particular]])</f>
        <v>0</v>
      </c>
      <c r="G13" s="15"/>
      <c r="N13" s="3" t="s">
        <v>28</v>
      </c>
      <c r="O13" s="18">
        <f>SUMIF(Tri[Type],AccType[[#This Row],[Type]],Tri[Cash])</f>
        <v>0</v>
      </c>
      <c r="P13" s="18">
        <f>SUMIF(Tri[Type],AccType[[#This Row],[Type]],Tri[Bank])</f>
        <v>0</v>
      </c>
      <c r="Q13" s="3" t="b">
        <v>1</v>
      </c>
    </row>
    <row r="14" spans="1:17" ht="14.4" thickBot="1" x14ac:dyDescent="0.3">
      <c r="A14" s="30" t="s">
        <v>82</v>
      </c>
      <c r="B14" s="26">
        <f>SUMIF(Tri[Type],CF[[#This Row],[Particular]],Tri[Net CF])</f>
        <v>0</v>
      </c>
      <c r="D14" s="3" t="s">
        <v>23</v>
      </c>
      <c r="E14" s="9">
        <f>SUMIFS(Tri[Balance],Tri[IsCredit],FALSE,Tri[Type],FP[[#This Row],[Particular]])</f>
        <v>0</v>
      </c>
      <c r="F14" s="3">
        <f>SUMIFS(Tri[Balance],Tri[IsCredit],TRUE,Tri[Type],FP[[#This Row],[Particular]])</f>
        <v>0</v>
      </c>
      <c r="N14" s="3" t="s">
        <v>21</v>
      </c>
      <c r="O14" s="18">
        <f>SUMIF(Tri[Type],AccType[[#This Row],[Type]],Tri[Cash])</f>
        <v>0</v>
      </c>
      <c r="P14" s="18">
        <f>SUMIF(Tri[Type],AccType[[#This Row],[Type]],Tri[Bank])</f>
        <v>0</v>
      </c>
      <c r="Q14" s="3" t="b">
        <v>1</v>
      </c>
    </row>
    <row r="15" spans="1:17" ht="14.4" thickBot="1" x14ac:dyDescent="0.3">
      <c r="A15" s="26" t="s">
        <v>13</v>
      </c>
      <c r="B15" s="26">
        <f>SUMIF(Tri[Type],CF[[#This Row],[Particular]],Tri[Net CF])</f>
        <v>0</v>
      </c>
      <c r="E15" s="3">
        <f>SUMIFS(Tri[Balance],Tri[IsCredit],FALSE,Tri[Type],FP[[#This Row],[Particular]])</f>
        <v>0</v>
      </c>
      <c r="F15" s="3">
        <f>SUMIFS(Tri[Balance],Tri[IsCredit],TRUE,Tri[Type],FP[[#This Row],[Particular]])</f>
        <v>0</v>
      </c>
      <c r="N15" s="3" t="s">
        <v>22</v>
      </c>
      <c r="O15" s="18">
        <f>SUMIF(Tri[Type],AccType[[#This Row],[Type]],Tri[Cash])</f>
        <v>0</v>
      </c>
      <c r="P15" s="18">
        <f>SUMIF(Tri[Type],AccType[[#This Row],[Type]],Tri[Bank])</f>
        <v>0</v>
      </c>
      <c r="Q15" s="3" t="b">
        <v>1</v>
      </c>
    </row>
    <row r="16" spans="1:17" ht="14.4" thickBot="1" x14ac:dyDescent="0.3">
      <c r="A16" s="26" t="s">
        <v>100</v>
      </c>
      <c r="B16" s="26">
        <f>SUMIF(Tri[Type],CF[[#This Row],[Particular]],Tri[Net CF])</f>
        <v>0</v>
      </c>
      <c r="D16" s="3" t="s">
        <v>21</v>
      </c>
      <c r="E16" s="3">
        <f>SUMIFS(Tri[Balance],Tri[IsCredit],FALSE,Tri[Type],FP[[#This Row],[Particular]])</f>
        <v>0</v>
      </c>
      <c r="F16" s="27">
        <f>SUMIFS(Tri[Balance],Tri[IsCredit],TRUE,Tri[Type],FP[[#This Row],[Particular]])</f>
        <v>0</v>
      </c>
      <c r="N16" s="3" t="s">
        <v>82</v>
      </c>
      <c r="O16" s="18">
        <f>SUMIF(Tri[Type],AccType[[#This Row],[Type]],Tri[Cash])</f>
        <v>0</v>
      </c>
      <c r="P16" s="18">
        <f>SUMIF(Tri[Type],AccType[[#This Row],[Type]],Tri[Bank])</f>
        <v>0</v>
      </c>
      <c r="Q16" s="3" t="b">
        <v>1</v>
      </c>
    </row>
    <row r="17" spans="1:17" ht="14.4" thickBot="1" x14ac:dyDescent="0.3">
      <c r="A17" s="7" t="s">
        <v>50</v>
      </c>
      <c r="B17" s="8">
        <f>SUBTOTAL(109,B3:B16)</f>
        <v>0</v>
      </c>
      <c r="D17" s="3" t="s">
        <v>20</v>
      </c>
      <c r="E17" s="3">
        <f>SUMIFS(Tri[Balance],Tri[IsCredit],FALSE,Tri[Type],FP[[#This Row],[Particular]])</f>
        <v>0</v>
      </c>
      <c r="F17" s="28">
        <f>SUMIFS(Tri[Balance],Tri[IsCredit],TRUE,Tri[Type],FP[[#This Row],[Particular]])</f>
        <v>0</v>
      </c>
      <c r="H17" s="16"/>
      <c r="I17" s="16"/>
      <c r="N17" s="3" t="s">
        <v>13</v>
      </c>
      <c r="O17" s="18">
        <f>SUMIF(Tri[Type],AccType[[#This Row],[Type]],Tri[Cash])</f>
        <v>0</v>
      </c>
      <c r="P17" s="18">
        <f>SUMIF(Tri[Type],AccType[[#This Row],[Type]],Tri[Bank])</f>
        <v>0</v>
      </c>
      <c r="Q17" s="3" t="b">
        <v>1</v>
      </c>
    </row>
    <row r="18" spans="1:17" ht="14.4" thickBot="1" x14ac:dyDescent="0.3">
      <c r="A18" s="3" t="s">
        <v>51</v>
      </c>
      <c r="B18" s="3">
        <f>I7</f>
        <v>0</v>
      </c>
      <c r="D18" s="3" t="s">
        <v>28</v>
      </c>
      <c r="E18" s="3">
        <f>SUMIFS(Tri[Balance],Tri[IsCredit],FALSE,Tri[Type],FP[[#This Row],[Particular]])</f>
        <v>0</v>
      </c>
      <c r="F18" s="29">
        <f>SUMIFS(Tri[Balance],Tri[IsCredit],TRUE,Tri[Type],FP[[#This Row],[Particular]])</f>
        <v>0</v>
      </c>
      <c r="N18" s="3" t="s">
        <v>100</v>
      </c>
      <c r="O18" s="18">
        <f>SUMIF(Tri[Type],AccType[[#This Row],[Type]],Tri[Cash])</f>
        <v>0</v>
      </c>
      <c r="P18" s="18">
        <f>SUMIF(Tri[Type],AccType[[#This Row],[Type]],Tri[Bank])</f>
        <v>0</v>
      </c>
      <c r="Q18" s="3" t="b">
        <v>1</v>
      </c>
    </row>
    <row r="19" spans="1:17" ht="14.4" thickBot="1" x14ac:dyDescent="0.3">
      <c r="A19" s="3" t="s">
        <v>52</v>
      </c>
      <c r="B19" s="3">
        <f>I6</f>
        <v>0</v>
      </c>
      <c r="D19" s="7" t="s">
        <v>43</v>
      </c>
      <c r="E19" s="7">
        <f>SUMIFS(Tri[Balance],Tri[IsCredit],FALSE,Tri[Type],FP[[#This Row],[Particular]])</f>
        <v>0</v>
      </c>
      <c r="F19" s="8">
        <f>CIE[[#Totals],[Amount]]</f>
        <v>0</v>
      </c>
      <c r="N19" s="3" t="s">
        <v>12</v>
      </c>
      <c r="O19" s="18">
        <f>SUMIF(Tri[Type],AccType[[#This Row],[Type]],Tri[Cash])</f>
        <v>0</v>
      </c>
      <c r="P19" s="18">
        <f>SUMIF(Tri[Type],AccType[[#This Row],[Type]],Tri[Bank])</f>
        <v>0</v>
      </c>
      <c r="Q19" s="3" t="b">
        <v>1</v>
      </c>
    </row>
    <row r="20" spans="1:17" ht="14.4" thickBot="1" x14ac:dyDescent="0.3">
      <c r="A20" s="7" t="s">
        <v>53</v>
      </c>
      <c r="B20" s="8">
        <f>SUBTOTAL(109,B3:B19)</f>
        <v>0</v>
      </c>
      <c r="D20" s="3" t="s">
        <v>22</v>
      </c>
      <c r="E20" s="3">
        <f>SUMIFS(Tri[Balance],Tri[IsCredit],FALSE,Tri[Type],FP[[#This Row],[Particular]])</f>
        <v>0</v>
      </c>
      <c r="F20" s="27">
        <f>SUMIFS(Tri[Balance],Tri[IsCredit],TRUE,Tri[Type],FP[[#This Row],[Particular]])</f>
        <v>0</v>
      </c>
      <c r="N20" s="3" t="s">
        <v>47</v>
      </c>
      <c r="O20" s="18">
        <f>SUMIF(Tri[Type],AccType[[#This Row],[Type]],Tri[Cash])</f>
        <v>0</v>
      </c>
      <c r="P20" s="18">
        <f>SUMIF(Tri[Type],AccType[[#This Row],[Type]],Tri[Bank])</f>
        <v>0</v>
      </c>
      <c r="Q20" s="3" t="b">
        <v>0</v>
      </c>
    </row>
    <row r="21" spans="1:17" x14ac:dyDescent="0.25">
      <c r="A21" s="3" t="s">
        <v>29</v>
      </c>
      <c r="B21" s="3">
        <f>SUMIF(Tri[Type],CF[[#This Row],[Particular]],Tri[Net CF])</f>
        <v>0</v>
      </c>
      <c r="D21" s="3" t="s">
        <v>82</v>
      </c>
      <c r="E21" s="3">
        <f>SUMIFS(Tri[Balance],Tri[IsCredit],FALSE,Tri[Type],FP[[#This Row],[Particular]])</f>
        <v>0</v>
      </c>
      <c r="F21" s="28">
        <f>SUMIFS(Tri[Balance],Tri[IsCredit],TRUE,Tri[Type],FP[[#This Row],[Particular]])</f>
        <v>0</v>
      </c>
      <c r="N21" s="3" t="s">
        <v>40</v>
      </c>
      <c r="O21" s="18">
        <f>SUMIF(Tri[Type],AccType[[#This Row],[Type]],Tri[Cash])</f>
        <v>0</v>
      </c>
      <c r="P21" s="18">
        <f>SUMIF(Tri[Type],AccType[[#This Row],[Type]],Tri[Bank])</f>
        <v>0</v>
      </c>
      <c r="Q21" s="3" t="b">
        <v>0</v>
      </c>
    </row>
    <row r="22" spans="1:17" x14ac:dyDescent="0.25">
      <c r="A22" s="3" t="s">
        <v>90</v>
      </c>
      <c r="B22" s="3">
        <f>SUMIF(Tri[Type],CF[[#This Row],[Particular]],Tri[Net CF])</f>
        <v>0</v>
      </c>
      <c r="D22" s="3" t="s">
        <v>13</v>
      </c>
      <c r="E22" s="3">
        <f>SUMIFS(Tri[Balance],Tri[IsCredit],FALSE,Tri[Type],FP[[#This Row],[Particular]])</f>
        <v>0</v>
      </c>
      <c r="F22" s="28">
        <f>SUMIFS(Tri[Balance],Tri[IsCredit],TRUE,Tri[Type],FP[[#This Row],[Particular]])</f>
        <v>0</v>
      </c>
      <c r="H22" s="11"/>
      <c r="I22" s="11"/>
      <c r="N22" s="3" t="s">
        <v>38</v>
      </c>
      <c r="O22" s="18">
        <f>SUMIF(Tri[Type],AccType[[#This Row],[Type]],Tri[Cash])</f>
        <v>0</v>
      </c>
      <c r="P22" s="18">
        <f>SUMIF(Tri[Type],AccType[[#This Row],[Type]],Tri[Bank])</f>
        <v>0</v>
      </c>
      <c r="Q22" s="3" t="b">
        <v>0</v>
      </c>
    </row>
    <row r="23" spans="1:17" ht="14.4" thickBot="1" x14ac:dyDescent="0.3">
      <c r="A23" s="3" t="s">
        <v>78</v>
      </c>
      <c r="B23" s="3">
        <f>SUMIF(Tri[Type],CF[[#This Row],[Particular]],Tri[Net CF])</f>
        <v>0</v>
      </c>
      <c r="D23" s="3" t="s">
        <v>100</v>
      </c>
      <c r="E23" s="3">
        <f>SUMIFS(Tri[Balance],Tri[IsCredit],FALSE,Tri[Type],FP[[#This Row],[Particular]])</f>
        <v>0</v>
      </c>
      <c r="F23" s="29">
        <f>SUMIFS(Tri[Balance],Tri[IsCredit],TRUE,Tri[Type],FP[[#This Row],[Particular]])</f>
        <v>0</v>
      </c>
      <c r="H23" s="11"/>
      <c r="I23" s="11"/>
      <c r="N23" s="3" t="s">
        <v>54</v>
      </c>
      <c r="O23" s="18">
        <f>SUMIF(Tri[Type],AccType[[#This Row],[Type]],Tri[Cash])</f>
        <v>0</v>
      </c>
      <c r="P23" s="18">
        <f>SUMIF(Tri[Type],AccType[[#This Row],[Type]],Tri[Bank])</f>
        <v>0</v>
      </c>
      <c r="Q23" s="3" t="b">
        <v>1</v>
      </c>
    </row>
    <row r="24" spans="1:17" ht="14.4" thickBot="1" x14ac:dyDescent="0.3">
      <c r="A24" s="3" t="s">
        <v>57</v>
      </c>
      <c r="B24" s="3">
        <f>SUMIF(Tri[Type],CF[[#This Row],[Particular]],Tri[Net CF])</f>
        <v>0</v>
      </c>
      <c r="D24" s="71" t="s">
        <v>31</v>
      </c>
      <c r="E24" s="71">
        <f>SUBTOTAL(109,FP[Debit])</f>
        <v>0</v>
      </c>
      <c r="F24" s="71">
        <f>ROUND(SUBTOTAL(109,FP[Credit]),4)</f>
        <v>0</v>
      </c>
      <c r="H24" s="11"/>
      <c r="I24" s="11"/>
      <c r="N24" s="3" t="s">
        <v>57</v>
      </c>
      <c r="O24" s="18">
        <f>SUMIF(Tri[Type],AccType[[#This Row],[Type]],Tri[Cash])</f>
        <v>0</v>
      </c>
      <c r="P24" s="18">
        <f>SUMIF(Tri[Type],AccType[[#This Row],[Type]],Tri[Bank])</f>
        <v>0</v>
      </c>
      <c r="Q24" s="3" t="b">
        <v>0</v>
      </c>
    </row>
    <row r="25" spans="1:17" ht="14.4" thickBot="1" x14ac:dyDescent="0.3">
      <c r="A25" s="7" t="s">
        <v>55</v>
      </c>
      <c r="B25" s="8">
        <f>SUBTOTAL(109,B21:B24)</f>
        <v>0</v>
      </c>
      <c r="H25" s="11"/>
      <c r="I25" s="11"/>
      <c r="N25" s="3" t="s">
        <v>77</v>
      </c>
      <c r="O25" s="18">
        <f>SUMIF(Tri[Type],AccType[[#This Row],[Type]],Tri[Cash])</f>
        <v>0</v>
      </c>
      <c r="P25" s="18">
        <f>SUMIF(Tri[Type],AccType[[#This Row],[Type]],Tri[Bank])</f>
        <v>0</v>
      </c>
      <c r="Q25" s="3" t="b">
        <v>1</v>
      </c>
    </row>
    <row r="26" spans="1:17" x14ac:dyDescent="0.25">
      <c r="A26" s="3" t="s">
        <v>22</v>
      </c>
      <c r="B26" s="3">
        <f>SUMIF(Tri[Type],CF[[#This Row],[Particular]],Tri[Net CF])</f>
        <v>0</v>
      </c>
      <c r="N26" s="3" t="s">
        <v>19</v>
      </c>
      <c r="O26" s="18">
        <f>SUMIF(Tri[Type],AccType[[#This Row],[Type]],Tri[Cash])</f>
        <v>0</v>
      </c>
      <c r="P26" s="18">
        <f>SUMIF(Tri[Type],AccType[[#This Row],[Type]],Tri[Bank])</f>
        <v>0</v>
      </c>
      <c r="Q26" s="3" t="b">
        <v>0</v>
      </c>
    </row>
    <row r="27" spans="1:17" ht="14.4" thickBot="1" x14ac:dyDescent="0.3">
      <c r="A27" s="3" t="s">
        <v>21</v>
      </c>
      <c r="B27" s="3">
        <f>SUMIF(Tri[Type],CF[[#This Row],[Particular]],Tri[Net CF])</f>
        <v>0</v>
      </c>
      <c r="D27" s="7"/>
      <c r="F27" s="10">
        <f>ROUND(FP[[#Totals],[Debit]]-FP[[#Totals],[Credit]],4)</f>
        <v>0</v>
      </c>
      <c r="N27" s="3" t="s">
        <v>24</v>
      </c>
      <c r="O27" s="18">
        <f>SUMIF(Tri[Type],AccType[[#This Row],[Type]],Tri[Cash])</f>
        <v>0</v>
      </c>
      <c r="P27" s="18">
        <f>SUMIF(Tri[Type],AccType[[#This Row],[Type]],Tri[Bank])</f>
        <v>0</v>
      </c>
      <c r="Q27" s="3" t="b">
        <v>1</v>
      </c>
    </row>
    <row r="28" spans="1:17" ht="14.4" thickBot="1" x14ac:dyDescent="0.3">
      <c r="A28" s="7" t="s">
        <v>56</v>
      </c>
      <c r="B28" s="8">
        <f>SUBTOTAL(109,B26:B27)</f>
        <v>0</v>
      </c>
      <c r="D28" s="7"/>
      <c r="N28" s="18" t="s">
        <v>91</v>
      </c>
      <c r="O28" s="25">
        <f>SUMIF(Tri[Type],AccType[[#This Row],[Type]],Tri[Cash])</f>
        <v>0</v>
      </c>
      <c r="P28" s="25">
        <f>SUMIF(Tri[Type],AccType[[#This Row],[Type]],Tri[Bank])</f>
        <v>0</v>
      </c>
      <c r="Q28" s="3" t="b">
        <v>0</v>
      </c>
    </row>
    <row r="29" spans="1:17" x14ac:dyDescent="0.25">
      <c r="A29" s="69" t="s">
        <v>71</v>
      </c>
      <c r="B29" s="67">
        <f>ROUND(SUBTOTAL(109,CF[Amount]),4)</f>
        <v>0</v>
      </c>
      <c r="D29" s="7"/>
      <c r="N29" s="3" t="s">
        <v>18</v>
      </c>
      <c r="O29" s="18">
        <f>SUMIF(Tri[Type],AccType[[#This Row],[Type]],Tri[Cash])</f>
        <v>0</v>
      </c>
      <c r="P29" s="18">
        <f>SUMIF(Tri[Type],AccType[[#This Row],[Type]],Tri[Bank])</f>
        <v>0</v>
      </c>
      <c r="Q29" s="3" t="b">
        <v>0</v>
      </c>
    </row>
    <row r="30" spans="1:17" x14ac:dyDescent="0.25">
      <c r="N30" s="3" t="s">
        <v>41</v>
      </c>
      <c r="O30" s="18">
        <f>SUMIF(Tri[Type],AccType[[#This Row],[Type]],Tri[Cash])</f>
        <v>0</v>
      </c>
      <c r="P30" s="18">
        <f>SUMIF(Tri[Type],AccType[[#This Row],[Type]],Tri[Bank])</f>
        <v>0</v>
      </c>
      <c r="Q30" s="3" t="b">
        <v>0</v>
      </c>
    </row>
    <row r="31" spans="1:17" x14ac:dyDescent="0.25">
      <c r="A31" s="3" t="s">
        <v>61</v>
      </c>
      <c r="B31" s="3">
        <f>ROUND(SUMIFS(Transation[Receipt (Debit)],Transation[Reference],"=Opening",Transation[Is Contra C&amp;J],"=TRUE")-SUMIFS(Transation[Payment (Credit)],Transation[Reference],"=Opening",Transation[Is Contra C&amp;J],"=TRUE"),4)</f>
        <v>0</v>
      </c>
      <c r="N31" s="3" t="s">
        <v>39</v>
      </c>
      <c r="O31" s="18">
        <f>SUMIF(Tri[Type],AccType[[#This Row],[Type]],Tri[Cash])</f>
        <v>0</v>
      </c>
      <c r="P31" s="18">
        <f>SUMIF(Tri[Type],AccType[[#This Row],[Type]],Tri[Bank])</f>
        <v>0</v>
      </c>
      <c r="Q31" s="3" t="b">
        <v>0</v>
      </c>
    </row>
    <row r="32" spans="1:17" x14ac:dyDescent="0.25">
      <c r="A32" s="3" t="s">
        <v>62</v>
      </c>
      <c r="B32" s="3">
        <f>ROUND(SUMIFS(Transation[Deposit],Transation[Reference],"=Opening",Transation[Is Contra B&amp;J],"=TRUE")-SUMIFS(Transation[Withdraw],Transation[Reference],"=Opening",Transation[Is Contra B&amp;J],"=TRUE"),4)</f>
        <v>0</v>
      </c>
      <c r="N32" s="18" t="s">
        <v>70</v>
      </c>
      <c r="O32" s="25">
        <f>SUMIF(Tri[Type],AccType[[#This Row],[Type]],Tri[Cash])</f>
        <v>0</v>
      </c>
      <c r="P32" s="25">
        <f>SUMIF(Tri[Type],AccType[[#This Row],[Type]],Tri[Bank])</f>
        <v>0</v>
      </c>
      <c r="Q32" s="22" t="b">
        <v>0</v>
      </c>
    </row>
    <row r="33" spans="1:17" x14ac:dyDescent="0.25">
      <c r="A33" s="3" t="s">
        <v>59</v>
      </c>
      <c r="B33" s="20">
        <f>SUM(B31:B32)</f>
        <v>0</v>
      </c>
      <c r="N33" s="82" t="s">
        <v>31</v>
      </c>
      <c r="O33" s="71">
        <f>ROUND(SUBTOTAL(109,AccType[Net Cash Flow]),4)</f>
        <v>0</v>
      </c>
      <c r="P33" s="71">
        <f>ROUND(SUBTOTAL(109,AccType[Net Bank Flow]),4)</f>
        <v>0</v>
      </c>
      <c r="Q33" s="82">
        <f>SUBTOTAL(103,AccType[IsCredit])</f>
        <v>31</v>
      </c>
    </row>
    <row r="34" spans="1:17" x14ac:dyDescent="0.25">
      <c r="A34" s="3" t="s">
        <v>60</v>
      </c>
      <c r="B34" s="3">
        <f>E12+E13</f>
        <v>0</v>
      </c>
    </row>
    <row r="35" spans="1:17" x14ac:dyDescent="0.25">
      <c r="A35" s="3" t="s">
        <v>83</v>
      </c>
      <c r="B35" s="19">
        <f>ROUND(B34-B33,4)</f>
        <v>0</v>
      </c>
      <c r="N35" s="3" t="s">
        <v>65</v>
      </c>
      <c r="O35" s="3">
        <f>SUMIF(AccType[Net Cash Flow],"&gt;0")</f>
        <v>0</v>
      </c>
      <c r="P35" s="3">
        <f>SUMIF(AccType[Net Bank Flow],"&gt;0")</f>
        <v>0</v>
      </c>
    </row>
    <row r="36" spans="1:17" x14ac:dyDescent="0.25">
      <c r="A36" s="3" t="s">
        <v>84</v>
      </c>
      <c r="B36" s="3">
        <f>CF[[#Totals],[Amount]]</f>
        <v>0</v>
      </c>
      <c r="N36" s="3" t="s">
        <v>66</v>
      </c>
      <c r="O36" s="3">
        <f>SUMIF(AccType[Net Cash Flow],"&lt;0")</f>
        <v>0</v>
      </c>
      <c r="P36" s="3">
        <f>SUMIF(AccType[Net Bank Flow],"&lt;0")</f>
        <v>0</v>
      </c>
    </row>
    <row r="37" spans="1:17" ht="14.4" thickBot="1" x14ac:dyDescent="0.3">
      <c r="B37" s="21">
        <f>ROUND(B35-B36,4)</f>
        <v>0</v>
      </c>
      <c r="N37" s="3" t="s">
        <v>63</v>
      </c>
      <c r="O37" s="20">
        <f>SUM(O35:O36)</f>
        <v>0</v>
      </c>
      <c r="P37" s="20">
        <f>SUM(P35:P36)</f>
        <v>0</v>
      </c>
    </row>
    <row r="38" spans="1:17" ht="14.4" thickTop="1" x14ac:dyDescent="0.25">
      <c r="N38" s="3" t="s">
        <v>64</v>
      </c>
      <c r="O38" s="3">
        <f>B31</f>
        <v>0</v>
      </c>
      <c r="P38" s="3">
        <f>B32</f>
        <v>0</v>
      </c>
    </row>
    <row r="39" spans="1:17" ht="14.4" thickBot="1" x14ac:dyDescent="0.3">
      <c r="N39" s="3" t="s">
        <v>69</v>
      </c>
      <c r="O39" s="24">
        <f>SUM(O37:O38)</f>
        <v>0</v>
      </c>
      <c r="P39" s="24">
        <f>SUM(P37:P38)</f>
        <v>0</v>
      </c>
    </row>
    <row r="40" spans="1:17" ht="14.4" thickTop="1" x14ac:dyDescent="0.25"/>
    <row r="41" spans="1:17" x14ac:dyDescent="0.25">
      <c r="O41" s="10">
        <f>ROUND(O39-E12,4)</f>
        <v>0</v>
      </c>
      <c r="P41" s="10">
        <f>ROUND(P39-E13,4)</f>
        <v>0</v>
      </c>
    </row>
  </sheetData>
  <sheetProtection password="C620" sheet="1" objects="1" scenarios="1"/>
  <pageMargins left="0.7" right="0.7" top="0.75" bottom="0.75" header="0.3" footer="0.3"/>
  <pageSetup paperSize="9" orientation="portrait" verticalDpi="0" r:id="rId1"/>
  <ignoredErrors>
    <ignoredError sqref="F19 L4:L5 E12:E13 L7 L8:L9 E4:F4" calculatedColumn="1"/>
    <ignoredError sqref="O38:P38 I4:I5" formula="1"/>
  </ignoredErrors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299286-C987-4076-A8AE-33A8678423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NCA</vt:lpstr>
      <vt:lpstr>NCA register</vt:lpstr>
      <vt:lpstr>Transation</vt:lpstr>
      <vt:lpstr>Trial</vt:lpstr>
      <vt:lpstr>Ace</vt:lpstr>
      <vt:lpstr>BankBalance</vt:lpstr>
      <vt:lpstr>CashBalance</vt:lpstr>
      <vt:lpstr>'NCA register'!Print_Area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2018-05-23T06:51:07Z</dcterms:modified>
</cp:coreProperties>
</file>