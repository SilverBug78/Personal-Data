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Lenovo\Desktop\Custom Office Templates\"/>
    </mc:Choice>
  </mc:AlternateContent>
  <bookViews>
    <workbookView xWindow="0" yWindow="0" windowWidth="23040" windowHeight="9420"/>
  </bookViews>
  <sheets>
    <sheet name="Tran" sheetId="1" r:id="rId1"/>
    <sheet name="CusLst" sheetId="2" r:id="rId2"/>
    <sheet name="Summary" sheetId="3" r:id="rId3"/>
    <sheet name="Report" sheetId="4" r:id="rId4"/>
    <sheet name="Invoice" sheetId="5" r:id="rId5"/>
  </sheets>
  <definedNames>
    <definedName name="CustLst_Name" localSheetId="0">CusLst[Name]</definedName>
    <definedName name="R_EndDate" localSheetId="3">Report!$B$7</definedName>
    <definedName name="R_IniDate" localSheetId="3">Report!$B$6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M3" i="1" s="1"/>
  <c r="M6" i="1"/>
  <c r="M7" i="1" s="1"/>
  <c r="M11" i="1"/>
  <c r="M12" i="1"/>
  <c r="M13" i="1"/>
  <c r="M9" i="1" l="1"/>
  <c r="M10" i="1" s="1"/>
  <c r="M4" i="1"/>
  <c r="M5" i="1" s="1"/>
  <c r="M8" i="1" s="1"/>
  <c r="E6" i="5"/>
  <c r="C6" i="5" s="1"/>
  <c r="A10" i="4" a="1"/>
  <c r="A10" i="4" s="1"/>
  <c r="C8" i="5" l="1"/>
  <c r="C7" i="5"/>
  <c r="E7" i="5"/>
  <c r="E10" i="4"/>
  <c r="D10" i="4"/>
  <c r="B10" i="4"/>
  <c r="A11" i="4" a="1"/>
  <c r="A11" i="4" s="1"/>
  <c r="O7" i="1"/>
  <c r="P7" i="1" s="1"/>
  <c r="O11" i="1"/>
  <c r="P11" i="1" s="1"/>
  <c r="O12" i="1"/>
  <c r="P12" i="1" s="1"/>
  <c r="O13" i="1"/>
  <c r="P13" i="1" s="1"/>
  <c r="A2" i="3" a="1"/>
  <c r="A2" i="3" s="1"/>
  <c r="I2" i="3" s="1"/>
  <c r="Q2" i="1"/>
  <c r="Q3" i="1"/>
  <c r="Q4" i="1"/>
  <c r="Q5" i="1"/>
  <c r="Q6" i="1"/>
  <c r="Q7" i="1"/>
  <c r="Q8" i="1"/>
  <c r="Q9" i="1"/>
  <c r="Q10" i="1"/>
  <c r="Q11" i="1"/>
  <c r="Q12" i="1"/>
  <c r="Q13" i="1"/>
  <c r="K14" i="1"/>
  <c r="L2" i="1"/>
  <c r="L3" i="1"/>
  <c r="L4" i="1"/>
  <c r="L5" i="1"/>
  <c r="L6" i="1"/>
  <c r="L7" i="1"/>
  <c r="L8" i="1"/>
  <c r="L9" i="1"/>
  <c r="L10" i="1"/>
  <c r="L11" i="1"/>
  <c r="L12" i="1"/>
  <c r="L13" i="1"/>
  <c r="F14" i="1"/>
  <c r="G2" i="1"/>
  <c r="G3" i="1"/>
  <c r="G4" i="1"/>
  <c r="G5" i="1"/>
  <c r="C10" i="4" s="1"/>
  <c r="G6" i="1"/>
  <c r="G7" i="1"/>
  <c r="G8" i="1"/>
  <c r="G9" i="1"/>
  <c r="G10" i="1"/>
  <c r="G11" i="1"/>
  <c r="G12" i="1"/>
  <c r="G13" i="1"/>
  <c r="D2" i="3" l="1"/>
  <c r="K2" i="3" s="1"/>
  <c r="N9" i="1"/>
  <c r="I14" i="5"/>
  <c r="I18" i="5"/>
  <c r="I22" i="5"/>
  <c r="I11" i="5"/>
  <c r="I15" i="5"/>
  <c r="I19" i="5"/>
  <c r="I12" i="5"/>
  <c r="I16" i="5"/>
  <c r="I20" i="5"/>
  <c r="I13" i="5"/>
  <c r="I17" i="5"/>
  <c r="I21" i="5"/>
  <c r="I25" i="5"/>
  <c r="I23" i="5"/>
  <c r="I24" i="5"/>
  <c r="D11" i="4"/>
  <c r="E11" i="4"/>
  <c r="C11" i="4"/>
  <c r="B11" i="4"/>
  <c r="A12" i="4" a="1"/>
  <c r="A12" i="4" s="1"/>
  <c r="E2" i="3"/>
  <c r="L2" i="3" s="1"/>
  <c r="H2" i="3"/>
  <c r="N13" i="1"/>
  <c r="N12" i="1"/>
  <c r="N11" i="1"/>
  <c r="N7" i="1"/>
  <c r="N6" i="1"/>
  <c r="N2" i="1"/>
  <c r="O6" i="1"/>
  <c r="P6" i="1" s="1"/>
  <c r="O2" i="1"/>
  <c r="G14" i="1"/>
  <c r="L14" i="1"/>
  <c r="A3" i="3" a="1"/>
  <c r="A3" i="3" s="1"/>
  <c r="I3" i="3" s="1"/>
  <c r="A4" i="3" l="1" a="1"/>
  <c r="A4" i="3" s="1"/>
  <c r="I4" i="3" s="1"/>
  <c r="D3" i="3"/>
  <c r="K3" i="3" s="1"/>
  <c r="O9" i="1"/>
  <c r="P9" i="1" s="1"/>
  <c r="E20" i="5"/>
  <c r="B20" i="5"/>
  <c r="C20" i="5"/>
  <c r="D20" i="5"/>
  <c r="B15" i="5"/>
  <c r="D15" i="5"/>
  <c r="C15" i="5"/>
  <c r="E15" i="5"/>
  <c r="C21" i="5"/>
  <c r="B21" i="5"/>
  <c r="D21" i="5"/>
  <c r="E21" i="5"/>
  <c r="E16" i="5"/>
  <c r="B16" i="5"/>
  <c r="D16" i="5"/>
  <c r="C16" i="5"/>
  <c r="B11" i="5"/>
  <c r="E11" i="5"/>
  <c r="D11" i="5"/>
  <c r="C11" i="5"/>
  <c r="C25" i="5"/>
  <c r="B25" i="5"/>
  <c r="E25" i="5"/>
  <c r="D25" i="5"/>
  <c r="E24" i="5"/>
  <c r="B24" i="5"/>
  <c r="C24" i="5"/>
  <c r="D24" i="5"/>
  <c r="C17" i="5"/>
  <c r="B17" i="5"/>
  <c r="D17" i="5"/>
  <c r="E17" i="5"/>
  <c r="E12" i="5"/>
  <c r="B12" i="5"/>
  <c r="C12" i="5"/>
  <c r="D12" i="5"/>
  <c r="C22" i="5"/>
  <c r="D22" i="5"/>
  <c r="B22" i="5"/>
  <c r="E22" i="5"/>
  <c r="B23" i="5"/>
  <c r="E23" i="5"/>
  <c r="D23" i="5"/>
  <c r="C23" i="5"/>
  <c r="E13" i="5"/>
  <c r="B13" i="5"/>
  <c r="C13" i="5"/>
  <c r="D13" i="5"/>
  <c r="B19" i="5"/>
  <c r="C19" i="5"/>
  <c r="E19" i="5"/>
  <c r="D19" i="5"/>
  <c r="C18" i="5"/>
  <c r="B18" i="5"/>
  <c r="D18" i="5"/>
  <c r="E18" i="5"/>
  <c r="C14" i="5"/>
  <c r="B14" i="5"/>
  <c r="D14" i="5"/>
  <c r="E14" i="5"/>
  <c r="O3" i="1"/>
  <c r="P3" i="1" s="1"/>
  <c r="D12" i="4"/>
  <c r="E12" i="4"/>
  <c r="C12" i="4"/>
  <c r="B12" i="4"/>
  <c r="A13" i="4" a="1"/>
  <c r="A13" i="4" s="1"/>
  <c r="N4" i="1"/>
  <c r="E3" i="3"/>
  <c r="H3" i="3"/>
  <c r="N3" i="1"/>
  <c r="P2" i="1"/>
  <c r="L3" i="3" l="1"/>
  <c r="D4" i="3"/>
  <c r="K4" i="3" s="1"/>
  <c r="O10" i="1"/>
  <c r="N10" i="1"/>
  <c r="F3" i="3" s="1"/>
  <c r="G3" i="3" s="1"/>
  <c r="E26" i="5"/>
  <c r="C26" i="5"/>
  <c r="D13" i="4"/>
  <c r="E13" i="4"/>
  <c r="C13" i="4"/>
  <c r="B13" i="4"/>
  <c r="A14" i="4" a="1"/>
  <c r="A14" i="4" s="1"/>
  <c r="O4" i="1"/>
  <c r="E4" i="3"/>
  <c r="L4" i="3" s="1"/>
  <c r="F4" i="3"/>
  <c r="H4" i="3"/>
  <c r="B4" i="3"/>
  <c r="J4" i="3" s="1"/>
  <c r="C4" i="3"/>
  <c r="A5" i="3" a="1"/>
  <c r="A5" i="3" s="1"/>
  <c r="I5" i="3" s="1"/>
  <c r="D5" i="3" l="1"/>
  <c r="K5" i="3" s="1"/>
  <c r="P10" i="1"/>
  <c r="C3" i="3" s="1"/>
  <c r="B3" i="3"/>
  <c r="J3" i="3" s="1"/>
  <c r="P4" i="1"/>
  <c r="D14" i="4"/>
  <c r="E14" i="4"/>
  <c r="C14" i="4"/>
  <c r="B14" i="4"/>
  <c r="A15" i="4" a="1"/>
  <c r="A15" i="4" s="1"/>
  <c r="N5" i="1"/>
  <c r="O5" i="1"/>
  <c r="G4" i="3"/>
  <c r="E5" i="3"/>
  <c r="L5" i="3" s="1"/>
  <c r="F5" i="3"/>
  <c r="B5" i="3"/>
  <c r="J5" i="3" s="1"/>
  <c r="C5" i="3"/>
  <c r="H5" i="3"/>
  <c r="A6" i="3" a="1"/>
  <c r="A6" i="3" s="1"/>
  <c r="I6" i="3" s="1"/>
  <c r="D6" i="3" l="1"/>
  <c r="K6" i="3" s="1"/>
  <c r="O8" i="1"/>
  <c r="O14" i="1" s="1"/>
  <c r="N8" i="1"/>
  <c r="N14" i="1" s="1"/>
  <c r="M14" i="1"/>
  <c r="D15" i="4"/>
  <c r="E15" i="4"/>
  <c r="C15" i="4"/>
  <c r="B15" i="4"/>
  <c r="P5" i="1"/>
  <c r="A16" i="4" a="1"/>
  <c r="A16" i="4" s="1"/>
  <c r="G5" i="3"/>
  <c r="E6" i="3"/>
  <c r="L6" i="3" s="1"/>
  <c r="F6" i="3"/>
  <c r="B6" i="3"/>
  <c r="J6" i="3" s="1"/>
  <c r="C6" i="3"/>
  <c r="H6" i="3"/>
  <c r="A7" i="3" a="1"/>
  <c r="A7" i="3" s="1"/>
  <c r="I7" i="3" s="1"/>
  <c r="D7" i="3" l="1"/>
  <c r="K7" i="3" s="1"/>
  <c r="B2" i="3"/>
  <c r="J2" i="3" s="1"/>
  <c r="F2" i="3"/>
  <c r="G2" i="3" s="1"/>
  <c r="P8" i="1"/>
  <c r="P14" i="1" s="1"/>
  <c r="D16" i="4"/>
  <c r="E16" i="4"/>
  <c r="C16" i="4"/>
  <c r="B16" i="4"/>
  <c r="A17" i="4" a="1"/>
  <c r="A17" i="4" s="1"/>
  <c r="G6" i="3"/>
  <c r="E7" i="3"/>
  <c r="L7" i="3" s="1"/>
  <c r="F7" i="3"/>
  <c r="C7" i="3"/>
  <c r="H7" i="3"/>
  <c r="B7" i="3"/>
  <c r="J7" i="3" s="1"/>
  <c r="A8" i="3" a="1"/>
  <c r="A8" i="3" s="1"/>
  <c r="I8" i="3" s="1"/>
  <c r="D8" i="3" l="1"/>
  <c r="K8" i="3" s="1"/>
  <c r="C2" i="3"/>
  <c r="D17" i="4"/>
  <c r="E17" i="4"/>
  <c r="C17" i="4"/>
  <c r="B17" i="4"/>
  <c r="A18" i="4" a="1"/>
  <c r="A18" i="4" s="1"/>
  <c r="G7" i="3"/>
  <c r="E8" i="3"/>
  <c r="L8" i="3" s="1"/>
  <c r="F8" i="3"/>
  <c r="B8" i="3"/>
  <c r="J8" i="3" s="1"/>
  <c r="H8" i="3"/>
  <c r="C8" i="3"/>
  <c r="A9" i="3" a="1"/>
  <c r="A9" i="3" s="1"/>
  <c r="I9" i="3" s="1"/>
  <c r="D9" i="3" l="1"/>
  <c r="K9" i="3" s="1"/>
  <c r="D18" i="4"/>
  <c r="E18" i="4"/>
  <c r="C18" i="4"/>
  <c r="B18" i="4"/>
  <c r="A19" i="4" a="1"/>
  <c r="A19" i="4" s="1"/>
  <c r="G8" i="3"/>
  <c r="E9" i="3"/>
  <c r="L9" i="3" s="1"/>
  <c r="F9" i="3"/>
  <c r="B9" i="3"/>
  <c r="J9" i="3" s="1"/>
  <c r="C9" i="3"/>
  <c r="H9" i="3"/>
  <c r="A10" i="3" a="1"/>
  <c r="A10" i="3" s="1"/>
  <c r="I10" i="3" s="1"/>
  <c r="D10" i="3" l="1"/>
  <c r="K10" i="3" s="1"/>
  <c r="D19" i="4"/>
  <c r="E19" i="4"/>
  <c r="C19" i="4"/>
  <c r="B19" i="4"/>
  <c r="A20" i="4" a="1"/>
  <c r="A20" i="4" s="1"/>
  <c r="G9" i="3"/>
  <c r="E10" i="3"/>
  <c r="F10" i="3"/>
  <c r="C10" i="3"/>
  <c r="H10" i="3"/>
  <c r="B10" i="3"/>
  <c r="J10" i="3" s="1"/>
  <c r="A11" i="3" a="1"/>
  <c r="A11" i="3" s="1"/>
  <c r="I11" i="3" s="1"/>
  <c r="L10" i="3" l="1"/>
  <c r="D11" i="3"/>
  <c r="K11" i="3" s="1"/>
  <c r="D20" i="4"/>
  <c r="E20" i="4"/>
  <c r="C20" i="4"/>
  <c r="B20" i="4"/>
  <c r="G10" i="3"/>
  <c r="E11" i="3"/>
  <c r="L11" i="3" s="1"/>
  <c r="F11" i="3"/>
  <c r="C11" i="3"/>
  <c r="H11" i="3"/>
  <c r="B11" i="3"/>
  <c r="J11" i="3" s="1"/>
  <c r="A12" i="3" a="1"/>
  <c r="A12" i="3" s="1"/>
  <c r="I12" i="3" s="1"/>
  <c r="D12" i="3" l="1"/>
  <c r="K12" i="3" s="1"/>
  <c r="G11" i="3"/>
  <c r="E12" i="3"/>
  <c r="F12" i="3"/>
  <c r="B12" i="3"/>
  <c r="J12" i="3" s="1"/>
  <c r="C12" i="3"/>
  <c r="H12" i="3"/>
  <c r="A13" i="3" a="1"/>
  <c r="A13" i="3" s="1"/>
  <c r="I13" i="3" s="1"/>
  <c r="L12" i="3" l="1"/>
  <c r="D13" i="3"/>
  <c r="K13" i="3" s="1"/>
  <c r="G12" i="3"/>
  <c r="E13" i="3"/>
  <c r="F13" i="3"/>
  <c r="A14" i="3" a="1"/>
  <c r="A14" i="3" s="1"/>
  <c r="I14" i="3" s="1"/>
  <c r="B13" i="3"/>
  <c r="J13" i="3" s="1"/>
  <c r="C13" i="3"/>
  <c r="H13" i="3"/>
  <c r="L13" i="3" l="1"/>
  <c r="D14" i="3"/>
  <c r="K14" i="3" s="1"/>
  <c r="G13" i="3"/>
  <c r="E14" i="3"/>
  <c r="F14" i="3"/>
  <c r="A15" i="3" a="1"/>
  <c r="A15" i="3" s="1"/>
  <c r="I15" i="3" s="1"/>
  <c r="B14" i="3"/>
  <c r="J14" i="3" s="1"/>
  <c r="C14" i="3"/>
  <c r="H14" i="3"/>
  <c r="L14" i="3" l="1"/>
  <c r="D15" i="3"/>
  <c r="D16" i="3" s="1"/>
  <c r="G14" i="3"/>
  <c r="E15" i="3"/>
  <c r="F15" i="3"/>
  <c r="F16" i="3" s="1"/>
  <c r="C15" i="3"/>
  <c r="C16" i="3" s="1"/>
  <c r="B15" i="3"/>
  <c r="B16" i="3" s="1"/>
  <c r="H15" i="3"/>
  <c r="E16" i="3" l="1"/>
  <c r="K15" i="3"/>
  <c r="J15" i="3"/>
  <c r="J16" i="3" s="1"/>
  <c r="G15" i="3"/>
  <c r="G16" i="3" s="1"/>
  <c r="L15" i="3" l="1"/>
  <c r="L16" i="3" s="1"/>
  <c r="K16" i="3"/>
</calcChain>
</file>

<file path=xl/sharedStrings.xml><?xml version="1.0" encoding="utf-8"?>
<sst xmlns="http://schemas.openxmlformats.org/spreadsheetml/2006/main" count="76" uniqueCount="50">
  <si>
    <t>Name</t>
  </si>
  <si>
    <t>Phone</t>
  </si>
  <si>
    <t>Address</t>
  </si>
  <si>
    <t>SPHA</t>
  </si>
  <si>
    <t>Home</t>
  </si>
  <si>
    <t>House</t>
  </si>
  <si>
    <t>Me</t>
  </si>
  <si>
    <t>Customer</t>
  </si>
  <si>
    <t>A</t>
  </si>
  <si>
    <t>bB</t>
  </si>
  <si>
    <t>C</t>
  </si>
  <si>
    <t>D</t>
  </si>
  <si>
    <t>Date</t>
  </si>
  <si>
    <t>No</t>
  </si>
  <si>
    <t>Line</t>
  </si>
  <si>
    <t>Pur Price</t>
  </si>
  <si>
    <t>Pur Qty</t>
  </si>
  <si>
    <t>Cost</t>
  </si>
  <si>
    <t>Inv No</t>
  </si>
  <si>
    <t>Sale Qty</t>
  </si>
  <si>
    <t>Sale Price</t>
  </si>
  <si>
    <t>Sale Amount</t>
  </si>
  <si>
    <t>Code</t>
  </si>
  <si>
    <t>Total</t>
  </si>
  <si>
    <t>Last No</t>
  </si>
  <si>
    <t>B</t>
  </si>
  <si>
    <t>FIFO Sold</t>
  </si>
  <si>
    <t>FIFO Left</t>
  </si>
  <si>
    <t>Valuation</t>
  </si>
  <si>
    <t>FIFO COS</t>
  </si>
  <si>
    <t>Inventories</t>
  </si>
  <si>
    <t>Sales</t>
  </si>
  <si>
    <t>Profit</t>
  </si>
  <si>
    <t>Beginning Date</t>
  </si>
  <si>
    <t>Ending Date</t>
  </si>
  <si>
    <t>Pur Amount</t>
  </si>
  <si>
    <t>Invoice</t>
  </si>
  <si>
    <t>Invoice No</t>
  </si>
  <si>
    <t>Particular</t>
  </si>
  <si>
    <t>Qty</t>
  </si>
  <si>
    <t>Price</t>
  </si>
  <si>
    <t>Amount</t>
  </si>
  <si>
    <t>Line Match</t>
  </si>
  <si>
    <t>09795324721</t>
  </si>
  <si>
    <t>09785700906</t>
  </si>
  <si>
    <t>Sales Qty</t>
  </si>
  <si>
    <t>WAC per unit</t>
  </si>
  <si>
    <t>WAC Valuation</t>
  </si>
  <si>
    <t>WAC COS</t>
  </si>
  <si>
    <t>WAC 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</si>
</sst>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1"/>
      <color theme="1"/>
      <name val="Times New Roman"/>
      <family val="2"/>
    </font>
    <font>
      <sz val="11"/>
      <color theme="1"/>
      <name val="Times New Roman"/>
      <family val="2"/>
    </font>
    <font>
      <b/>
      <sz val="11"/>
      <color rgb="FF3F3F3F"/>
      <name val="Times New Roman"/>
      <family val="2"/>
    </font>
    <font>
      <b/>
      <sz val="11"/>
      <color rgb="FF3F3F3F"/>
      <name val="Times New Roman"/>
    </font>
    <font>
      <sz val="11"/>
      <color theme="1"/>
      <name val="Times New Roman"/>
    </font>
    <font>
      <sz val="11"/>
      <color rgb="FF9C6500"/>
      <name val="Times New Roman"/>
      <family val="2"/>
    </font>
    <font>
      <sz val="11"/>
      <color rgb="FF3F3F76"/>
      <name val="Times New Roman"/>
      <family val="2"/>
    </font>
    <font>
      <b/>
      <sz val="11"/>
      <color rgb="FFFA7D00"/>
      <name val="Times New Roman"/>
      <family val="2"/>
    </font>
    <font>
      <b/>
      <u/>
      <sz val="11"/>
      <color theme="1"/>
      <name val="Times New Roman"/>
      <family val="1"/>
    </font>
    <font>
      <sz val="11"/>
      <color theme="1"/>
      <name val="Times New Roman"/>
      <family val="1"/>
    </font>
    <font>
      <u/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5" fillId="4" borderId="0" applyNumberFormat="0" applyBorder="0" applyAlignment="0" applyProtection="0"/>
    <xf numFmtId="0" fontId="6" fillId="5" borderId="2" applyNumberFormat="0" applyAlignment="0" applyProtection="0"/>
    <xf numFmtId="0" fontId="7" fillId="2" borderId="2" applyNumberFormat="0" applyAlignment="0" applyProtection="0"/>
  </cellStyleXfs>
  <cellXfs count="41">
    <xf numFmtId="0" fontId="0" fillId="0" borderId="0" xfId="0"/>
    <xf numFmtId="0" fontId="0" fillId="0" borderId="0" xfId="0" applyBorder="1"/>
    <xf numFmtId="0" fontId="0" fillId="0" borderId="0" xfId="0" applyNumberFormat="1" applyBorder="1"/>
    <xf numFmtId="43" fontId="0" fillId="0" borderId="0" xfId="1" applyFont="1" applyBorder="1"/>
    <xf numFmtId="43" fontId="0" fillId="0" borderId="0" xfId="1" applyFont="1"/>
    <xf numFmtId="43" fontId="2" fillId="2" borderId="1" xfId="2" applyNumberFormat="1"/>
    <xf numFmtId="0" fontId="3" fillId="3" borderId="1" xfId="0" applyFont="1" applyFill="1" applyBorder="1"/>
    <xf numFmtId="43" fontId="3" fillId="3" borderId="1" xfId="0" applyNumberFormat="1" applyFont="1" applyFill="1" applyBorder="1"/>
    <xf numFmtId="43" fontId="4" fillId="0" borderId="0" xfId="0" applyNumberFormat="1" applyFont="1"/>
    <xf numFmtId="164" fontId="0" fillId="0" borderId="0" xfId="1" applyNumberFormat="1" applyFont="1"/>
    <xf numFmtId="14" fontId="0" fillId="0" borderId="0" xfId="0" applyNumberFormat="1" applyBorder="1"/>
    <xf numFmtId="14" fontId="0" fillId="0" borderId="0" xfId="0" applyNumberFormat="1"/>
    <xf numFmtId="0" fontId="0" fillId="0" borderId="0" xfId="0" applyNumberFormat="1"/>
    <xf numFmtId="164" fontId="0" fillId="0" borderId="0" xfId="0" applyNumberFormat="1"/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9" fillId="0" borderId="0" xfId="0" applyFont="1"/>
    <xf numFmtId="0" fontId="11" fillId="0" borderId="4" xfId="0" applyFont="1" applyBorder="1" applyAlignment="1">
      <alignment horizontal="center" vertic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5" fillId="4" borderId="3" xfId="3" applyBorder="1"/>
    <xf numFmtId="0" fontId="7" fillId="2" borderId="2" xfId="5"/>
    <xf numFmtId="43" fontId="9" fillId="0" borderId="6" xfId="1" applyFont="1" applyBorder="1"/>
    <xf numFmtId="43" fontId="9" fillId="0" borderId="0" xfId="1" applyFont="1"/>
    <xf numFmtId="164" fontId="9" fillId="0" borderId="5" xfId="1" applyNumberFormat="1" applyFont="1" applyBorder="1"/>
    <xf numFmtId="164" fontId="9" fillId="0" borderId="6" xfId="1" applyNumberFormat="1" applyFont="1" applyBorder="1"/>
    <xf numFmtId="164" fontId="9" fillId="0" borderId="7" xfId="1" applyNumberFormat="1" applyFont="1" applyBorder="1"/>
    <xf numFmtId="164" fontId="9" fillId="0" borderId="8" xfId="1" applyNumberFormat="1" applyFont="1" applyBorder="1"/>
    <xf numFmtId="0" fontId="6" fillId="5" borderId="2" xfId="4"/>
    <xf numFmtId="49" fontId="0" fillId="0" borderId="0" xfId="0" applyNumberFormat="1"/>
    <xf numFmtId="164" fontId="0" fillId="0" borderId="0" xfId="1" applyNumberFormat="1" applyFont="1" applyBorder="1"/>
    <xf numFmtId="164" fontId="4" fillId="0" borderId="0" xfId="0" applyNumberFormat="1" applyFont="1"/>
    <xf numFmtId="43" fontId="2" fillId="2" borderId="1" xfId="1" applyFont="1" applyFill="1" applyBorder="1"/>
    <xf numFmtId="43" fontId="3" fillId="3" borderId="1" xfId="1" applyFont="1" applyFill="1" applyBorder="1"/>
    <xf numFmtId="164" fontId="2" fillId="2" borderId="1" xfId="1" applyNumberFormat="1" applyFont="1" applyFill="1" applyBorder="1"/>
    <xf numFmtId="164" fontId="3" fillId="3" borderId="1" xfId="1" applyNumberFormat="1" applyFont="1" applyFill="1" applyBorder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164" fontId="4" fillId="0" borderId="0" xfId="1" applyNumberFormat="1" applyFont="1"/>
  </cellXfs>
  <cellStyles count="6">
    <cellStyle name="Calculation" xfId="5" builtinId="22"/>
    <cellStyle name="Comma" xfId="1" builtinId="3"/>
    <cellStyle name="Input" xfId="4" builtinId="20"/>
    <cellStyle name="Neutral" xfId="3" builtinId="28"/>
    <cellStyle name="Normal" xfId="0" builtinId="0"/>
    <cellStyle name="Output" xfId="2" builtinId="21"/>
  </cellStyles>
  <dxfs count="48"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0" formatCode="General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164" formatCode="_(* #,##0_);_(* \(#,##0\);_(* &quot;-&quot;??_);_(@_)"/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imes New Roman"/>
        <scheme val="none"/>
      </font>
      <numFmt numFmtId="35" formatCode="_(* #,##0.00_);_(* \(#,##0.00\);_(* &quot;-&quot;??_);_(@_)"/>
      <fill>
        <patternFill patternType="solid">
          <fgColor indexed="64"/>
          <bgColor rgb="FFF2F2F2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</dxf>
    <dxf>
      <numFmt numFmtId="19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30" formatCode="@"/>
    </dxf>
    <dxf>
      <numFmt numFmtId="30" formatCode="@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_(* #,##0_);_(* \(#,##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164" formatCode="_(* #,##0_);_(* \(#,##0\);_(* &quot;-&quot;??_);_(@_)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Tran" displayName="Tran" ref="A1:Q14" totalsRowCount="1">
  <autoFilter ref="A1:Q13"/>
  <tableColumns count="17">
    <tableColumn id="1" name="Date" totalsRowLabel="Total" dataDxfId="47" totalsRowDxfId="22"/>
    <tableColumn id="2" name="No"/>
    <tableColumn id="3" name="Line"/>
    <tableColumn id="4" name="Name"/>
    <tableColumn id="5" name="Pur Price" totalsRowDxfId="21" dataCellStyle="Comma"/>
    <tableColumn id="6" name="Pur Qty" totalsRowFunction="sum" dataDxfId="46" totalsRowDxfId="20" dataCellStyle="Comma"/>
    <tableColumn id="7" name="Cost" totalsRowFunction="sum" totalsRowDxfId="19" dataCellStyle="Output">
      <calculatedColumnFormula>Tran[[#This Row],[Pur Price]]*Tran[[#This Row],[Pur Qty]]</calculatedColumnFormula>
    </tableColumn>
    <tableColumn id="10" name="Inv No"/>
    <tableColumn id="11" name="Customer"/>
    <tableColumn id="13" name="Sale Price" totalsRowDxfId="18" dataCellStyle="Comma"/>
    <tableColumn id="12" name="Sale Qty" totalsRowFunction="sum" dataDxfId="45" totalsRowDxfId="17" dataCellStyle="Comma"/>
    <tableColumn id="14" name="Sale Amount" totalsRowFunction="sum" dataDxfId="44" totalsRowDxfId="16" dataCellStyle="Output">
      <calculatedColumnFormula>Tran[[#This Row],[Sale Qty]]*Tran[[#This Row],[Sale Price]]</calculatedColumnFormula>
    </tableColumn>
    <tableColumn id="21" name="FIFO Sold" totalsRowFunction="sum" dataDxfId="43" totalsRowDxfId="15" dataCellStyle="Comma">
      <calculatedColumnFormula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calculatedColumnFormula>
    </tableColumn>
    <tableColumn id="18" name="FIFO COS" totalsRowFunction="sum" dataDxfId="42" totalsRowDxfId="14" dataCellStyle="Output">
      <calculatedColumnFormula>Tran[[#This Row],[FIFO Sold]]*Tran[[#This Row],[Pur Price]]</calculatedColumnFormula>
    </tableColumn>
    <tableColumn id="20" name="FIFO Left" totalsRowFunction="sum" dataDxfId="41" totalsRowDxfId="13" dataCellStyle="Comma">
      <calculatedColumnFormula>Tran[[#This Row],[Pur Qty]]-Tran[[#This Row],[FIFO Sold]]</calculatedColumnFormula>
    </tableColumn>
    <tableColumn id="19" name="Valuation" totalsRowFunction="sum" dataDxfId="40" totalsRowDxfId="12" dataCellStyle="Output">
      <calculatedColumnFormula>Tran[[#This Row],[FIFO Left]]*Tran[[#This Row],[Pur Price]]</calculatedColumnFormula>
    </tableColumn>
    <tableColumn id="17" name="Code" dataDxfId="39" totalsRowDxfId="11" dataCellStyle="Output">
      <calculatedColumnFormula>IF(ISBLANK(Tran[[#This Row],[Inv No]]),,"S")&amp;Tran[[#This Row],[Inv No]]&amp;Tran[[#This Row],[Line]]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1" name="CusLst" displayName="CusLst" ref="A1:C7" totalsRowShown="0">
  <autoFilter ref="A1:C7"/>
  <tableColumns count="3">
    <tableColumn id="1" name="Name"/>
    <tableColumn id="2" name="Phone" dataDxfId="38"/>
    <tableColumn id="3" name="Address" dataDxfId="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Summary" displayName="Summary" ref="A1:L16" totalsRowCount="1">
  <autoFilter ref="A1:L15"/>
  <tableColumns count="12">
    <tableColumn id="1" name="Name" totalsRowLabel="Total" dataCellStyle="Comma">
      <calculatedColumnFormula array="1">_xlfn.IFNA(INDEX(Tran[Name],MATCH(0,COUNTIF(Summary[[#Headers],[Name]]:OFFSET(Summary[[#This Row],[Name]],-1,0),Tran[Name]),0)),"")</calculatedColumnFormula>
    </tableColumn>
    <tableColumn id="3" name="Inventories" totalsRowFunction="sum" dataDxfId="36" totalsRowDxfId="10" dataCellStyle="Comma">
      <calculatedColumnFormula>IFERROR(SUMIFS(Tran[FIFO Left],Tran[Name],Summary[[#This Row],[Name]]),0)</calculatedColumnFormula>
    </tableColumn>
    <tableColumn id="4" name="Valuation" totalsRowFunction="sum" dataDxfId="35" totalsRowDxfId="9" dataCellStyle="Comma">
      <calculatedColumnFormula>IFERROR(SUMIFS(Tran[Valuation],Tran[Name],Summary[[#This Row],[Name]]),0)</calculatedColumnFormula>
    </tableColumn>
    <tableColumn id="8" name="Sales Qty" totalsRowFunction="sum" dataDxfId="34" totalsRowDxfId="8" dataCellStyle="Comma">
      <calculatedColumnFormula>IFERROR(SUMIFS(Tran[Sale Qty],Tran[Name],Summary[[#This Row],[Name]]),0)</calculatedColumnFormula>
    </tableColumn>
    <tableColumn id="7" name="Sales" totalsRowFunction="sum" dataDxfId="33" totalsRowDxfId="7" dataCellStyle="Comma">
      <calculatedColumnFormula>IFERROR(SUMIFS(Tran[Sale Amount],Tran[Name],Summary[[#This Row],[Name]]),0)</calculatedColumnFormula>
    </tableColumn>
    <tableColumn id="6" name="FIFO COS" totalsRowFunction="sum" dataDxfId="32" totalsRowDxfId="6" dataCellStyle="Comma">
      <calculatedColumnFormula>IFERROR(SUMIFS(Tran[FIFO COS],Tran[Name],Summary[[#This Row],[Name]]),0)</calculatedColumnFormula>
    </tableColumn>
    <tableColumn id="5" name="Profit" totalsRowFunction="sum" dataDxfId="31" totalsRowDxfId="5" dataCellStyle="Comma">
      <calculatedColumnFormula>Summary[[#This Row],[Sales]]-Summary[[#This Row],[FIFO COS]]</calculatedColumnFormula>
    </tableColumn>
    <tableColumn id="2" name="Last No" dataDxfId="30" totalsRowDxfId="4" dataCellStyle="Comma">
      <calculatedColumnFormula>_xlfn.IFNA(LOOKUP(2,1/(Tran[Name]=Summary[[#This Row],[Name]]),Tran[No]),0)</calculatedColumnFormula>
    </tableColumn>
    <tableColumn id="9" name="WAC per unit" dataDxfId="26" totalsRowDxfId="3" dataCellStyle="Comma">
      <calculatedColumnFormula>IFERROR(SUMIFS(Tran[Cost],Tran[Name],Summary[[#This Row],[Name]])/SUMIFS(Tran[Pur Qty],Tran[Name],Summary[[#This Row],[Name]]),0)</calculatedColumnFormula>
    </tableColumn>
    <tableColumn id="10" name="WAC Valuation" totalsRowFunction="sum" dataDxfId="25" totalsRowDxfId="2" dataCellStyle="Comma">
      <calculatedColumnFormula>Summary[[#This Row],[WAC per unit]]*Summary[[#This Row],[Inventories]]</calculatedColumnFormula>
    </tableColumn>
    <tableColumn id="11" name="WAC COS" totalsRowFunction="sum" dataDxfId="24" totalsRowDxfId="1" dataCellStyle="Comma">
      <calculatedColumnFormula>Summary[[#This Row],[WAC per unit]]*Summary[[#This Row],[Sales Qty]]</calculatedColumnFormula>
    </tableColumn>
    <tableColumn id="12" name="WAC Profit" totalsRowFunction="sum" dataDxfId="23" totalsRowDxfId="0" dataCellStyle="Comma">
      <calculatedColumnFormula>Summary[[#This Row],[Sales]]-Summary[[#This Row],[WAC COS]]</calculatedColumnFormula>
    </tableColumn>
  </tableColumns>
  <tableStyleInfo name="TableStyleLight5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9:E20" totalsRowShown="0">
  <autoFilter ref="A9:E20"/>
  <tableColumns count="5">
    <tableColumn id="1" name="Name" dataCellStyle="Comma">
      <calculatedColumnFormula array="1">_xlfn.IFNA(INDEX(Tran[Name],MATCH(0,COUNTIF(Table4[[#Headers],[Name]]:OFFSET(Table4[[#This Row],[Name]],-1,0),Tran[Name]),0)),"")</calculatedColumnFormula>
    </tableColumn>
    <tableColumn id="3" name="Pur Qty" dataDxfId="29" dataCellStyle="Comma">
      <calculatedColumnFormula>SUMIFS(Tran[Pur Qty],Tran[Name],Table4[[#This Row],[Name]],Tran[Date],"&gt;="&amp;R_IniDate,Tran[Date],"&lt;="&amp;R_EndDate)</calculatedColumnFormula>
    </tableColumn>
    <tableColumn id="4" name="Pur Amount" dataCellStyle="Comma">
      <calculatedColumnFormula>SUMIFS(Tran[Cost],Tran[Name],Table4[[#This Row],[Name]],Tran[Date],"&gt;="&amp;R_IniDate,Tran[Date],"&lt;="&amp;R_EndDate)</calculatedColumnFormula>
    </tableColumn>
    <tableColumn id="5" name="Sale Qty" dataDxfId="28" dataCellStyle="Comma">
      <calculatedColumnFormula>SUMIFS(Tran[Sale Qty],Tran[Name],Table4[[#This Row],[Name]],Tran[Date],"&gt;="&amp;R_IniDate,Tran[Date],"&lt;="&amp;R_EndDate)</calculatedColumnFormula>
    </tableColumn>
    <tableColumn id="6" name="Sale Amount" dataDxfId="27" dataCellStyle="Comma">
      <calculatedColumnFormula>SUMIFS(Tran[Sale Amount],Tran[Name],Table4[[#This Row],[Name]],Tran[Date],"&gt;="&amp;R_IniDate,Tran[Date],"&lt;="&amp;R_EndDate)</calculatedColumnFormula>
    </tableColumn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4"/>
  <sheetViews>
    <sheetView tabSelected="1" zoomScaleNormal="100" workbookViewId="0"/>
  </sheetViews>
  <sheetFormatPr defaultRowHeight="13.8" x14ac:dyDescent="0.25"/>
  <cols>
    <col min="1" max="1" width="8.33203125" style="11" bestFit="1" customWidth="1"/>
    <col min="2" max="2" width="5.77734375" bestFit="1" customWidth="1"/>
    <col min="3" max="3" width="7.109375" bestFit="1" customWidth="1"/>
    <col min="4" max="4" width="8.21875" bestFit="1" customWidth="1"/>
    <col min="5" max="5" width="12.5546875" style="4" bestFit="1" customWidth="1"/>
    <col min="6" max="6" width="11.44140625" style="9" bestFit="1" customWidth="1"/>
    <col min="7" max="7" width="11.44140625" style="4" bestFit="1" customWidth="1"/>
    <col min="8" max="8" width="9.21875" bestFit="1" customWidth="1"/>
    <col min="9" max="9" width="11.6640625" bestFit="1" customWidth="1"/>
    <col min="10" max="10" width="13" bestFit="1" customWidth="1"/>
    <col min="11" max="11" width="11.88671875" style="9" customWidth="1"/>
    <col min="12" max="12" width="15.88671875" style="4" bestFit="1" customWidth="1"/>
    <col min="13" max="13" width="13.5546875" style="4" bestFit="1" customWidth="1"/>
    <col min="14" max="14" width="13.77734375" style="4" bestFit="1" customWidth="1"/>
    <col min="15" max="15" width="13.21875" style="9" bestFit="1" customWidth="1"/>
    <col min="16" max="16" width="13.109375" style="4" bestFit="1" customWidth="1"/>
    <col min="17" max="17" width="7.77734375" bestFit="1" customWidth="1"/>
    <col min="18" max="18" width="11.88671875" style="4" customWidth="1"/>
    <col min="19" max="19" width="11.88671875" customWidth="1"/>
  </cols>
  <sheetData>
    <row r="1" spans="1:18" x14ac:dyDescent="0.25">
      <c r="A1" s="10" t="s">
        <v>12</v>
      </c>
      <c r="B1" s="2" t="s">
        <v>13</v>
      </c>
      <c r="C1" s="2" t="s">
        <v>14</v>
      </c>
      <c r="D1" s="1" t="s">
        <v>0</v>
      </c>
      <c r="E1" s="3" t="s">
        <v>15</v>
      </c>
      <c r="F1" s="32" t="s">
        <v>16</v>
      </c>
      <c r="G1" s="3" t="s">
        <v>17</v>
      </c>
      <c r="H1" s="1" t="s">
        <v>18</v>
      </c>
      <c r="I1" s="1" t="s">
        <v>7</v>
      </c>
      <c r="J1" s="3" t="s">
        <v>20</v>
      </c>
      <c r="K1" s="32" t="s">
        <v>19</v>
      </c>
      <c r="L1" s="3" t="s">
        <v>21</v>
      </c>
      <c r="M1" s="3" t="s">
        <v>26</v>
      </c>
      <c r="N1" s="3" t="s">
        <v>29</v>
      </c>
      <c r="O1" s="32" t="s">
        <v>27</v>
      </c>
      <c r="P1" s="3" t="s">
        <v>28</v>
      </c>
      <c r="Q1" s="2" t="s">
        <v>22</v>
      </c>
      <c r="R1"/>
    </row>
    <row r="2" spans="1:18" x14ac:dyDescent="0.25">
      <c r="A2" s="11">
        <v>42809</v>
      </c>
      <c r="B2">
        <v>1</v>
      </c>
      <c r="D2" t="s">
        <v>25</v>
      </c>
      <c r="E2" s="4">
        <v>6000</v>
      </c>
      <c r="F2" s="9">
        <v>2</v>
      </c>
      <c r="G2" s="5">
        <f>Tran[[#This Row],[Pur Price]]*Tran[[#This Row],[Pur Qty]]</f>
        <v>12000</v>
      </c>
      <c r="J2" s="4"/>
      <c r="L2" s="5">
        <f>Tran[[#This Row],[Sale Qty]]*Tran[[#This Row],[Sale Price]]</f>
        <v>0</v>
      </c>
      <c r="M2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2</v>
      </c>
      <c r="N2" s="5">
        <f ca="1">Tran[[#This Row],[FIFO Sold]]*Tran[[#This Row],[Pur Price]]</f>
        <v>12000</v>
      </c>
      <c r="O2" s="36">
        <f ca="1">Tran[[#This Row],[Pur Qty]]-Tran[[#This Row],[FIFO Sold]]</f>
        <v>0</v>
      </c>
      <c r="P2" s="5">
        <f ca="1">Tran[[#This Row],[FIFO Left]]*Tran[[#This Row],[Pur Price]]</f>
        <v>0</v>
      </c>
      <c r="Q2" s="5" t="str">
        <f>IF(ISBLANK(Tran[[#This Row],[Inv No]]),,"S")&amp;Tran[[#This Row],[Inv No]]&amp;Tran[[#This Row],[Line]]</f>
        <v/>
      </c>
      <c r="R2"/>
    </row>
    <row r="3" spans="1:18" x14ac:dyDescent="0.25">
      <c r="A3" s="11">
        <v>42841</v>
      </c>
      <c r="B3">
        <v>2</v>
      </c>
      <c r="D3" t="s">
        <v>25</v>
      </c>
      <c r="E3" s="4">
        <v>5500</v>
      </c>
      <c r="F3" s="9">
        <v>8</v>
      </c>
      <c r="G3" s="5">
        <f>Tran[[#This Row],[Pur Price]]*Tran[[#This Row],[Pur Qty]]</f>
        <v>44000</v>
      </c>
      <c r="J3" s="4"/>
      <c r="L3" s="5">
        <f>Tran[[#This Row],[Sale Qty]]*Tran[[#This Row],[Sale Price]]</f>
        <v>0</v>
      </c>
      <c r="M3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5</v>
      </c>
      <c r="N3" s="5">
        <f ca="1">Tran[[#This Row],[FIFO Sold]]*Tran[[#This Row],[Pur Price]]</f>
        <v>27500</v>
      </c>
      <c r="O3" s="36">
        <f ca="1">Tran[[#This Row],[Pur Qty]]-Tran[[#This Row],[FIFO Sold]]</f>
        <v>3</v>
      </c>
      <c r="P3" s="5">
        <f ca="1">Tran[[#This Row],[FIFO Left]]*Tran[[#This Row],[Pur Price]]</f>
        <v>16500</v>
      </c>
      <c r="Q3" s="5" t="str">
        <f>IF(ISBLANK(Tran[[#This Row],[Inv No]]),,"S")&amp;Tran[[#This Row],[Inv No]]&amp;Tran[[#This Row],[Line]]</f>
        <v/>
      </c>
      <c r="R3"/>
    </row>
    <row r="4" spans="1:18" x14ac:dyDescent="0.25">
      <c r="A4" s="11">
        <v>42846</v>
      </c>
      <c r="B4">
        <v>3</v>
      </c>
      <c r="C4">
        <v>1</v>
      </c>
      <c r="D4" t="s">
        <v>25</v>
      </c>
      <c r="G4" s="5">
        <f>Tran[[#This Row],[Pur Price]]*Tran[[#This Row],[Pur Qty]]</f>
        <v>0</v>
      </c>
      <c r="H4">
        <v>2</v>
      </c>
      <c r="I4" t="s">
        <v>6</v>
      </c>
      <c r="J4" s="4">
        <v>6000</v>
      </c>
      <c r="K4" s="9">
        <v>6</v>
      </c>
      <c r="L4" s="5">
        <f>Tran[[#This Row],[Sale Qty]]*Tran[[#This Row],[Sale Price]]</f>
        <v>36000</v>
      </c>
      <c r="M4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0</v>
      </c>
      <c r="N4" s="5">
        <f ca="1">Tran[[#This Row],[FIFO Sold]]*Tran[[#This Row],[Pur Price]]</f>
        <v>0</v>
      </c>
      <c r="O4" s="36">
        <f ca="1">Tran[[#This Row],[Pur Qty]]-Tran[[#This Row],[FIFO Sold]]</f>
        <v>0</v>
      </c>
      <c r="P4" s="5">
        <f ca="1">Tran[[#This Row],[FIFO Left]]*Tran[[#This Row],[Pur Price]]</f>
        <v>0</v>
      </c>
      <c r="Q4" s="5" t="str">
        <f>IF(ISBLANK(Tran[[#This Row],[Inv No]]),,"S")&amp;Tran[[#This Row],[Inv No]]&amp;Tran[[#This Row],[Line]]</f>
        <v>S21</v>
      </c>
      <c r="R4"/>
    </row>
    <row r="5" spans="1:18" x14ac:dyDescent="0.25">
      <c r="A5" s="11">
        <v>42860</v>
      </c>
      <c r="B5">
        <v>4</v>
      </c>
      <c r="C5">
        <v>1</v>
      </c>
      <c r="D5" t="s">
        <v>25</v>
      </c>
      <c r="G5" s="5">
        <f>Tran[[#This Row],[Pur Price]]*Tran[[#This Row],[Pur Qty]]</f>
        <v>0</v>
      </c>
      <c r="H5">
        <v>3</v>
      </c>
      <c r="I5" t="s">
        <v>3</v>
      </c>
      <c r="J5" s="4">
        <v>5500</v>
      </c>
      <c r="K5" s="9">
        <v>1</v>
      </c>
      <c r="L5" s="5">
        <f>Tran[[#This Row],[Sale Qty]]*Tran[[#This Row],[Sale Price]]</f>
        <v>5500</v>
      </c>
      <c r="M5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0</v>
      </c>
      <c r="N5" s="5">
        <f ca="1">Tran[[#This Row],[FIFO Sold]]*Tran[[#This Row],[Pur Price]]</f>
        <v>0</v>
      </c>
      <c r="O5" s="36">
        <f ca="1">Tran[[#This Row],[Pur Qty]]-Tran[[#This Row],[FIFO Sold]]</f>
        <v>0</v>
      </c>
      <c r="P5" s="5">
        <f ca="1">Tran[[#This Row],[FIFO Left]]*Tran[[#This Row],[Pur Price]]</f>
        <v>0</v>
      </c>
      <c r="Q5" s="5" t="str">
        <f>IF(ISBLANK(Tran[[#This Row],[Inv No]]),,"S")&amp;Tran[[#This Row],[Inv No]]&amp;Tran[[#This Row],[Line]]</f>
        <v>S31</v>
      </c>
      <c r="R5"/>
    </row>
    <row r="6" spans="1:18" x14ac:dyDescent="0.25">
      <c r="A6" s="11">
        <v>42861</v>
      </c>
      <c r="B6">
        <v>5</v>
      </c>
      <c r="D6" t="s">
        <v>8</v>
      </c>
      <c r="E6" s="4">
        <v>5000</v>
      </c>
      <c r="F6" s="9">
        <v>2</v>
      </c>
      <c r="G6" s="5">
        <f>Tran[[#This Row],[Pur Price]]*Tran[[#This Row],[Pur Qty]]</f>
        <v>10000</v>
      </c>
      <c r="J6" s="4"/>
      <c r="L6" s="5">
        <f>Tran[[#This Row],[Sale Qty]]*Tran[[#This Row],[Sale Price]]</f>
        <v>0</v>
      </c>
      <c r="M6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2</v>
      </c>
      <c r="N6" s="5">
        <f ca="1">Tran[[#This Row],[FIFO Sold]]*Tran[[#This Row],[Pur Price]]</f>
        <v>10000</v>
      </c>
      <c r="O6" s="36">
        <f ca="1">Tran[[#This Row],[Pur Qty]]-Tran[[#This Row],[FIFO Sold]]</f>
        <v>0</v>
      </c>
      <c r="P6" s="5">
        <f ca="1">Tran[[#This Row],[FIFO Left]]*Tran[[#This Row],[Pur Price]]</f>
        <v>0</v>
      </c>
      <c r="Q6" s="5" t="str">
        <f>IF(ISBLANK(Tran[[#This Row],[Inv No]]),,"S")&amp;Tran[[#This Row],[Inv No]]&amp;Tran[[#This Row],[Line]]</f>
        <v/>
      </c>
      <c r="R6"/>
    </row>
    <row r="7" spans="1:18" x14ac:dyDescent="0.25">
      <c r="A7" s="11">
        <v>42861</v>
      </c>
      <c r="B7">
        <v>6</v>
      </c>
      <c r="C7">
        <v>1</v>
      </c>
      <c r="D7" t="s">
        <v>8</v>
      </c>
      <c r="G7" s="5">
        <f>Tran[[#This Row],[Pur Price]]*Tran[[#This Row],[Pur Qty]]</f>
        <v>0</v>
      </c>
      <c r="H7">
        <v>4</v>
      </c>
      <c r="I7" t="s">
        <v>3</v>
      </c>
      <c r="J7" s="4">
        <v>5800</v>
      </c>
      <c r="K7" s="9">
        <v>2</v>
      </c>
      <c r="L7" s="5">
        <f>Tran[[#This Row],[Sale Qty]]*Tran[[#This Row],[Sale Price]]</f>
        <v>11600</v>
      </c>
      <c r="M7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0</v>
      </c>
      <c r="N7" s="5">
        <f ca="1">Tran[[#This Row],[FIFO Sold]]*Tran[[#This Row],[Pur Price]]</f>
        <v>0</v>
      </c>
      <c r="O7" s="36">
        <f ca="1">Tran[[#This Row],[Pur Qty]]-Tran[[#This Row],[FIFO Sold]]</f>
        <v>0</v>
      </c>
      <c r="P7" s="5">
        <f ca="1">Tran[[#This Row],[FIFO Left]]*Tran[[#This Row],[Pur Price]]</f>
        <v>0</v>
      </c>
      <c r="Q7" s="5" t="str">
        <f>IF(ISBLANK(Tran[[#This Row],[Inv No]]),,"S")&amp;Tran[[#This Row],[Inv No]]&amp;Tran[[#This Row],[Line]]</f>
        <v>S41</v>
      </c>
      <c r="R7"/>
    </row>
    <row r="8" spans="1:18" x14ac:dyDescent="0.25">
      <c r="A8" s="11">
        <v>42923</v>
      </c>
      <c r="B8">
        <v>7</v>
      </c>
      <c r="D8" t="s">
        <v>25</v>
      </c>
      <c r="E8" s="4">
        <v>6000</v>
      </c>
      <c r="F8" s="9">
        <v>5</v>
      </c>
      <c r="G8" s="5">
        <f>Tran[[#This Row],[Pur Price]]*Tran[[#This Row],[Pur Qty]]</f>
        <v>30000</v>
      </c>
      <c r="J8" s="4"/>
      <c r="L8" s="5">
        <f>Tran[[#This Row],[Sale Qty]]*Tran[[#This Row],[Sale Price]]</f>
        <v>0</v>
      </c>
      <c r="M8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0</v>
      </c>
      <c r="N8" s="5">
        <f ca="1">Tran[[#This Row],[FIFO Sold]]*Tran[[#This Row],[Pur Price]]</f>
        <v>0</v>
      </c>
      <c r="O8" s="36">
        <f ca="1">Tran[[#This Row],[Pur Qty]]-Tran[[#This Row],[FIFO Sold]]</f>
        <v>5</v>
      </c>
      <c r="P8" s="5">
        <f ca="1">Tran[[#This Row],[FIFO Left]]*Tran[[#This Row],[Pur Price]]</f>
        <v>30000</v>
      </c>
      <c r="Q8" s="5" t="str">
        <f>IF(ISBLANK(Tran[[#This Row],[Inv No]]),,"S")&amp;Tran[[#This Row],[Inv No]]&amp;Tran[[#This Row],[Line]]</f>
        <v/>
      </c>
      <c r="R8"/>
    </row>
    <row r="9" spans="1:18" x14ac:dyDescent="0.25">
      <c r="A9" s="11">
        <v>42924</v>
      </c>
      <c r="B9">
        <v>8</v>
      </c>
      <c r="D9" t="s">
        <v>8</v>
      </c>
      <c r="E9" s="4">
        <v>5500</v>
      </c>
      <c r="F9" s="9">
        <v>8</v>
      </c>
      <c r="G9" s="5">
        <f>Tran[[#This Row],[Pur Price]]*Tran[[#This Row],[Pur Qty]]</f>
        <v>44000</v>
      </c>
      <c r="J9" s="4"/>
      <c r="L9" s="5">
        <f>Tran[[#This Row],[Sale Qty]]*Tran[[#This Row],[Sale Price]]</f>
        <v>0</v>
      </c>
      <c r="M9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5</v>
      </c>
      <c r="N9" s="5">
        <f ca="1">Tran[[#This Row],[FIFO Sold]]*Tran[[#This Row],[Pur Price]]</f>
        <v>27500</v>
      </c>
      <c r="O9" s="36">
        <f ca="1">Tran[[#This Row],[Pur Qty]]-Tran[[#This Row],[FIFO Sold]]</f>
        <v>3</v>
      </c>
      <c r="P9" s="5">
        <f ca="1">Tran[[#This Row],[FIFO Left]]*Tran[[#This Row],[Pur Price]]</f>
        <v>16500</v>
      </c>
      <c r="Q9" s="5" t="str">
        <f>IF(ISBLANK(Tran[[#This Row],[Inv No]]),,"S")&amp;Tran[[#This Row],[Inv No]]&amp;Tran[[#This Row],[Line]]</f>
        <v/>
      </c>
      <c r="R9"/>
    </row>
    <row r="10" spans="1:18" x14ac:dyDescent="0.25">
      <c r="A10" s="11">
        <v>42925</v>
      </c>
      <c r="B10">
        <v>9</v>
      </c>
      <c r="C10">
        <v>1</v>
      </c>
      <c r="D10" t="s">
        <v>8</v>
      </c>
      <c r="G10" s="5">
        <f>Tran[[#This Row],[Pur Price]]*Tran[[#This Row],[Pur Qty]]</f>
        <v>0</v>
      </c>
      <c r="H10">
        <v>5</v>
      </c>
      <c r="I10" t="s">
        <v>3</v>
      </c>
      <c r="J10" s="4">
        <v>6000</v>
      </c>
      <c r="K10" s="9">
        <v>5</v>
      </c>
      <c r="L10" s="5">
        <f>Tran[[#This Row],[Sale Qty]]*Tran[[#This Row],[Sale Price]]</f>
        <v>30000</v>
      </c>
      <c r="M10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0</v>
      </c>
      <c r="N10" s="5">
        <f ca="1">Tran[[#This Row],[FIFO Sold]]*Tran[[#This Row],[Pur Price]]</f>
        <v>0</v>
      </c>
      <c r="O10" s="36">
        <f ca="1">Tran[[#This Row],[Pur Qty]]-Tran[[#This Row],[FIFO Sold]]</f>
        <v>0</v>
      </c>
      <c r="P10" s="5">
        <f ca="1">Tran[[#This Row],[FIFO Left]]*Tran[[#This Row],[Pur Price]]</f>
        <v>0</v>
      </c>
      <c r="Q10" s="5" t="str">
        <f>IF(ISBLANK(Tran[[#This Row],[Inv No]]),,"S")&amp;Tran[[#This Row],[Inv No]]&amp;Tran[[#This Row],[Line]]</f>
        <v>S51</v>
      </c>
      <c r="R10"/>
    </row>
    <row r="11" spans="1:18" x14ac:dyDescent="0.25">
      <c r="G11" s="5">
        <f>Tran[[#This Row],[Pur Price]]*Tran[[#This Row],[Pur Qty]]</f>
        <v>0</v>
      </c>
      <c r="J11" s="4"/>
      <c r="L11" s="5">
        <f>Tran[[#This Row],[Sale Qty]]*Tran[[#This Row],[Sale Price]]</f>
        <v>0</v>
      </c>
      <c r="M11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0</v>
      </c>
      <c r="N11" s="5">
        <f ca="1">Tran[[#This Row],[FIFO Sold]]*Tran[[#This Row],[Pur Price]]</f>
        <v>0</v>
      </c>
      <c r="O11" s="36">
        <f ca="1">Tran[[#This Row],[Pur Qty]]-Tran[[#This Row],[FIFO Sold]]</f>
        <v>0</v>
      </c>
      <c r="P11" s="5">
        <f ca="1">Tran[[#This Row],[FIFO Left]]*Tran[[#This Row],[Pur Price]]</f>
        <v>0</v>
      </c>
      <c r="Q11" s="5" t="str">
        <f>IF(ISBLANK(Tran[[#This Row],[Inv No]]),,"S")&amp;Tran[[#This Row],[Inv No]]&amp;Tran[[#This Row],[Line]]</f>
        <v/>
      </c>
      <c r="R11"/>
    </row>
    <row r="12" spans="1:18" x14ac:dyDescent="0.25">
      <c r="G12" s="5">
        <f>Tran[[#This Row],[Pur Price]]*Tran[[#This Row],[Pur Qty]]</f>
        <v>0</v>
      </c>
      <c r="J12" s="4"/>
      <c r="L12" s="5">
        <f>Tran[[#This Row],[Sale Qty]]*Tran[[#This Row],[Sale Price]]</f>
        <v>0</v>
      </c>
      <c r="M12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0</v>
      </c>
      <c r="N12" s="5">
        <f ca="1">Tran[[#This Row],[FIFO Sold]]*Tran[[#This Row],[Pur Price]]</f>
        <v>0</v>
      </c>
      <c r="O12" s="36">
        <f ca="1">Tran[[#This Row],[Pur Qty]]-Tran[[#This Row],[FIFO Sold]]</f>
        <v>0</v>
      </c>
      <c r="P12" s="5">
        <f ca="1">Tran[[#This Row],[FIFO Left]]*Tran[[#This Row],[Pur Price]]</f>
        <v>0</v>
      </c>
      <c r="Q12" s="5" t="str">
        <f>IF(ISBLANK(Tran[[#This Row],[Inv No]]),,"S")&amp;Tran[[#This Row],[Inv No]]&amp;Tran[[#This Row],[Line]]</f>
        <v/>
      </c>
      <c r="R12"/>
    </row>
    <row r="13" spans="1:18" x14ac:dyDescent="0.25">
      <c r="G13" s="5">
        <f>Tran[[#This Row],[Pur Price]]*Tran[[#This Row],[Pur Qty]]</f>
        <v>0</v>
      </c>
      <c r="J13" s="4"/>
      <c r="L13" s="5">
        <f>Tran[[#This Row],[Sale Qty]]*Tran[[#This Row],[Sale Price]]</f>
        <v>0</v>
      </c>
      <c r="M13" s="34">
        <f ca="1">MAX(MIN(SUMIF(Tran[Name],Tran[[#This Row],[Name]],Tran[Sale Qty])-SUMIF(Tran[[#Headers],[Name]]:OFFSET(Tran[[#This Row],[Name]],-1,0),Tran[[#This Row],[Name]],Tran[[#Headers],[FIFO Sold]]:OFFSET(Tran[[#This Row],[FIFO Sold]],-1,0)),IF(ISBLANK(Tran[[#This Row],[Pur Qty]]),0,Tran[[#This Row],[Pur Qty]])),0)</f>
        <v>0</v>
      </c>
      <c r="N13" s="5">
        <f ca="1">Tran[[#This Row],[FIFO Sold]]*Tran[[#This Row],[Pur Price]]</f>
        <v>0</v>
      </c>
      <c r="O13" s="36">
        <f ca="1">Tran[[#This Row],[Pur Qty]]-Tran[[#This Row],[FIFO Sold]]</f>
        <v>0</v>
      </c>
      <c r="P13" s="5">
        <f ca="1">Tran[[#This Row],[FIFO Left]]*Tran[[#This Row],[Pur Price]]</f>
        <v>0</v>
      </c>
      <c r="Q13" s="5" t="str">
        <f>IF(ISBLANK(Tran[[#This Row],[Inv No]]),,"S")&amp;Tran[[#This Row],[Inv No]]&amp;Tran[[#This Row],[Line]]</f>
        <v/>
      </c>
      <c r="R13"/>
    </row>
    <row r="14" spans="1:18" x14ac:dyDescent="0.25">
      <c r="A14" s="11" t="s">
        <v>23</v>
      </c>
      <c r="E14" s="8"/>
      <c r="F14" s="33">
        <f>SUBTOTAL(109,Tran[Pur Qty])</f>
        <v>25</v>
      </c>
      <c r="G14" s="7">
        <f>SUBTOTAL(109,Tran[Cost])</f>
        <v>140000</v>
      </c>
      <c r="J14" s="8"/>
      <c r="K14" s="33">
        <f>SUBTOTAL(109,Tran[Sale Qty])</f>
        <v>14</v>
      </c>
      <c r="L14" s="7">
        <f>SUBTOTAL(109,Tran[Sale Amount])</f>
        <v>83100</v>
      </c>
      <c r="M14" s="35">
        <f ca="1">SUBTOTAL(109,Tran[FIFO Sold])</f>
        <v>14</v>
      </c>
      <c r="N14" s="7">
        <f ca="1">SUBTOTAL(109,Tran[FIFO COS])</f>
        <v>77000</v>
      </c>
      <c r="O14" s="37">
        <f ca="1">SUBTOTAL(109,Tran[FIFO Left])</f>
        <v>11</v>
      </c>
      <c r="P14" s="7">
        <f ca="1">SUBTOTAL(109,Tran[Valuation])</f>
        <v>63000</v>
      </c>
      <c r="Q14" s="6"/>
      <c r="R14"/>
    </row>
  </sheetData>
  <dataValidations count="1">
    <dataValidation type="list" allowBlank="1" showErrorMessage="1" sqref="I1:I13 I15:I1048576">
      <formula1>CustLst_Name</formula1>
    </dataValidation>
  </dataValidations>
  <pageMargins left="0.7" right="0.7" top="0.75" bottom="0.75" header="0.3" footer="0.3"/>
  <pageSetup paperSize="9" orientation="portrait" verticalDpi="0" r:id="rId1"/>
  <ignoredErrors>
    <ignoredError sqref="I1" listDataValidation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B5" sqref="B5"/>
    </sheetView>
  </sheetViews>
  <sheetFormatPr defaultRowHeight="13.8" x14ac:dyDescent="0.25"/>
  <cols>
    <col min="1" max="1" width="10.88671875" customWidth="1"/>
    <col min="2" max="3" width="10.88671875" style="31" customWidth="1"/>
  </cols>
  <sheetData>
    <row r="1" spans="1:3" x14ac:dyDescent="0.25">
      <c r="A1" t="s">
        <v>0</v>
      </c>
      <c r="B1" s="31" t="s">
        <v>1</v>
      </c>
      <c r="C1" s="31" t="s">
        <v>2</v>
      </c>
    </row>
    <row r="2" spans="1:3" x14ac:dyDescent="0.25">
      <c r="A2" t="s">
        <v>3</v>
      </c>
      <c r="B2" s="31" t="s">
        <v>43</v>
      </c>
      <c r="C2" s="31" t="s">
        <v>4</v>
      </c>
    </row>
    <row r="3" spans="1:3" x14ac:dyDescent="0.25">
      <c r="A3" t="s">
        <v>6</v>
      </c>
      <c r="B3" s="31" t="s">
        <v>44</v>
      </c>
      <c r="C3" s="31" t="s">
        <v>5</v>
      </c>
    </row>
    <row r="4" spans="1:3" x14ac:dyDescent="0.25">
      <c r="A4" t="s">
        <v>8</v>
      </c>
    </row>
    <row r="5" spans="1:3" x14ac:dyDescent="0.25">
      <c r="A5" t="s">
        <v>9</v>
      </c>
    </row>
    <row r="6" spans="1:3" x14ac:dyDescent="0.25">
      <c r="A6" t="s">
        <v>10</v>
      </c>
    </row>
    <row r="7" spans="1:3" x14ac:dyDescent="0.25">
      <c r="A7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6"/>
  <sheetViews>
    <sheetView workbookViewId="0">
      <selection activeCell="J13" sqref="J13"/>
    </sheetView>
  </sheetViews>
  <sheetFormatPr defaultRowHeight="13.8" x14ac:dyDescent="0.25"/>
  <cols>
    <col min="1" max="1" width="8.21875" bestFit="1" customWidth="1"/>
    <col min="2" max="2" width="14.21875" bestFit="1" customWidth="1"/>
    <col min="3" max="3" width="13.109375" style="9" bestFit="1" customWidth="1"/>
    <col min="4" max="4" width="12.6640625" style="9" bestFit="1" customWidth="1"/>
    <col min="5" max="5" width="8.88671875" bestFit="1" customWidth="1"/>
    <col min="6" max="6" width="13.77734375" bestFit="1" customWidth="1"/>
    <col min="7" max="7" width="9.5546875" bestFit="1" customWidth="1"/>
    <col min="8" max="8" width="11.44140625" bestFit="1" customWidth="1"/>
    <col min="9" max="9" width="9.77734375" style="9" customWidth="1"/>
  </cols>
  <sheetData>
    <row r="1" spans="1:12" x14ac:dyDescent="0.25">
      <c r="A1" t="s">
        <v>0</v>
      </c>
      <c r="B1" s="9" t="s">
        <v>30</v>
      </c>
      <c r="C1" s="9" t="s">
        <v>28</v>
      </c>
      <c r="D1" s="9" t="s">
        <v>45</v>
      </c>
      <c r="E1" s="3" t="s">
        <v>31</v>
      </c>
      <c r="F1" s="3" t="s">
        <v>29</v>
      </c>
      <c r="G1" s="9" t="s">
        <v>32</v>
      </c>
      <c r="H1" s="9" t="s">
        <v>24</v>
      </c>
      <c r="I1" s="9" t="s">
        <v>46</v>
      </c>
      <c r="J1" s="9" t="s">
        <v>47</v>
      </c>
      <c r="K1" s="9" t="s">
        <v>48</v>
      </c>
      <c r="L1" s="9" t="s">
        <v>49</v>
      </c>
    </row>
    <row r="2" spans="1:12" x14ac:dyDescent="0.25">
      <c r="A2" s="4" t="str">
        <f t="array" aca="1" ref="A2" ca="1">_xlfn.IFNA(INDEX(Tran[Name],MATCH(0,COUNTIF(Summary[[#Headers],[Name]]:OFFSET(Summary[[#This Row],[Name]],-1,0),Tran[Name]),0)),"")</f>
        <v>B</v>
      </c>
      <c r="B2" s="9">
        <f ca="1">IFERROR(SUMIFS(Tran[FIFO Left],Tran[Name],Summary[[#This Row],[Name]]),0)</f>
        <v>8</v>
      </c>
      <c r="C2" s="9">
        <f ca="1">IFERROR(SUMIFS(Tran[Valuation],Tran[Name],Summary[[#This Row],[Name]]),0)</f>
        <v>46500</v>
      </c>
      <c r="D2" s="9">
        <f ca="1">IFERROR(SUMIFS(Tran[Sale Qty],Tran[Name],Summary[[#This Row],[Name]]),0)</f>
        <v>7</v>
      </c>
      <c r="E2" s="9">
        <f ca="1">IFERROR(SUMIFS(Tran[Sale Amount],Tran[Name],Summary[[#This Row],[Name]]),0)</f>
        <v>41500</v>
      </c>
      <c r="F2" s="9">
        <f ca="1">IFERROR(SUMIFS(Tran[FIFO COS],Tran[Name],Summary[[#This Row],[Name]]),0)</f>
        <v>39500</v>
      </c>
      <c r="G2" s="9">
        <f ca="1">Summary[[#This Row],[Sales]]-Summary[[#This Row],[FIFO COS]]</f>
        <v>2000</v>
      </c>
      <c r="H2" s="9">
        <f ca="1">_xlfn.IFNA(LOOKUP(2,1/(Tran[Name]=Summary[[#This Row],[Name]]),Tran[No]),0)</f>
        <v>7</v>
      </c>
      <c r="I2" s="40">
        <f ca="1">IFERROR(SUMIFS(Tran[Cost],Tran[Name],Summary[[#This Row],[Name]])/SUMIFS(Tran[Pur Qty],Tran[Name],Summary[[#This Row],[Name]]),0)</f>
        <v>5733.333333333333</v>
      </c>
      <c r="J2" s="40">
        <f ca="1">Summary[[#This Row],[WAC per unit]]*Summary[[#This Row],[Inventories]]</f>
        <v>45866.666666666664</v>
      </c>
      <c r="K2" s="40">
        <f ca="1">Summary[[#This Row],[WAC per unit]]*Summary[[#This Row],[Sales Qty]]</f>
        <v>40133.333333333328</v>
      </c>
      <c r="L2" s="40">
        <f ca="1">Summary[[#This Row],[Sales]]-Summary[[#This Row],[WAC COS]]</f>
        <v>1366.6666666666715</v>
      </c>
    </row>
    <row r="3" spans="1:12" x14ac:dyDescent="0.25">
      <c r="A3" s="4" t="str">
        <f t="array" aca="1" ref="A3" ca="1">_xlfn.IFNA(INDEX(Tran[Name],MATCH(0,COUNTIF(Summary[[#Headers],[Name]]:OFFSET(Summary[[#This Row],[Name]],-1,0),Tran[Name]),0)),"")</f>
        <v>A</v>
      </c>
      <c r="B3" s="9">
        <f ca="1">IFERROR(SUMIFS(Tran[FIFO Left],Tran[Name],Summary[[#This Row],[Name]]),0)</f>
        <v>3</v>
      </c>
      <c r="C3" s="9">
        <f ca="1">IFERROR(SUMIFS(Tran[Valuation],Tran[Name],Summary[[#This Row],[Name]]),0)</f>
        <v>16500</v>
      </c>
      <c r="D3" s="9">
        <f ca="1">IFERROR(SUMIFS(Tran[Sale Qty],Tran[Name],Summary[[#This Row],[Name]]),0)</f>
        <v>7</v>
      </c>
      <c r="E3" s="9">
        <f ca="1">IFERROR(SUMIFS(Tran[Sale Amount],Tran[Name],Summary[[#This Row],[Name]]),0)</f>
        <v>41600</v>
      </c>
      <c r="F3" s="9">
        <f ca="1">IFERROR(SUMIFS(Tran[FIFO COS],Tran[Name],Summary[[#This Row],[Name]]),0)</f>
        <v>37500</v>
      </c>
      <c r="G3" s="9">
        <f ca="1">Summary[[#This Row],[Sales]]-Summary[[#This Row],[FIFO COS]]</f>
        <v>4100</v>
      </c>
      <c r="H3" s="9">
        <f ca="1">_xlfn.IFNA(LOOKUP(2,1/(Tran[Name]=Summary[[#This Row],[Name]]),Tran[No]),0)</f>
        <v>9</v>
      </c>
      <c r="I3" s="40">
        <f ca="1">IFERROR(SUMIFS(Tran[Cost],Tran[Name],Summary[[#This Row],[Name]])/SUMIFS(Tran[Pur Qty],Tran[Name],Summary[[#This Row],[Name]]),0)</f>
        <v>5400</v>
      </c>
      <c r="J3" s="40">
        <f ca="1">Summary[[#This Row],[WAC per unit]]*Summary[[#This Row],[Inventories]]</f>
        <v>16200</v>
      </c>
      <c r="K3" s="40">
        <f ca="1">Summary[[#This Row],[WAC per unit]]*Summary[[#This Row],[Sales Qty]]</f>
        <v>37800</v>
      </c>
      <c r="L3" s="40">
        <f ca="1">Summary[[#This Row],[Sales]]-Summary[[#This Row],[WAC COS]]</f>
        <v>3800</v>
      </c>
    </row>
    <row r="4" spans="1:12" x14ac:dyDescent="0.25">
      <c r="A4" s="4">
        <f t="array" aca="1" ref="A4" ca="1">_xlfn.IFNA(INDEX(Tran[Name],MATCH(0,COUNTIF(Summary[[#Headers],[Name]]:OFFSET(Summary[[#This Row],[Name]],-1,0),Tran[Name]),0)),"")</f>
        <v>0</v>
      </c>
      <c r="B4" s="9">
        <f ca="1">IFERROR(SUMIFS(Tran[FIFO Left],Tran[Name],Summary[[#This Row],[Name]]),0)</f>
        <v>0</v>
      </c>
      <c r="C4" s="9">
        <f ca="1">IFERROR(SUMIFS(Tran[Valuation],Tran[Name],Summary[[#This Row],[Name]]),0)</f>
        <v>0</v>
      </c>
      <c r="D4" s="9">
        <f ca="1">IFERROR(SUMIFS(Tran[Sale Qty],Tran[Name],Summary[[#This Row],[Name]]),0)</f>
        <v>0</v>
      </c>
      <c r="E4" s="9">
        <f ca="1">IFERROR(SUMIFS(Tran[Sale Amount],Tran[Name],Summary[[#This Row],[Name]]),0)</f>
        <v>0</v>
      </c>
      <c r="F4" s="9">
        <f ca="1">IFERROR(SUMIFS(Tran[FIFO COS],Tran[Name],Summary[[#This Row],[Name]]),0)</f>
        <v>0</v>
      </c>
      <c r="G4" s="9">
        <f ca="1">Summary[[#This Row],[Sales]]-Summary[[#This Row],[FIFO COS]]</f>
        <v>0</v>
      </c>
      <c r="H4" s="9">
        <f ca="1">_xlfn.IFNA(LOOKUP(2,1/(Tran[Name]=Summary[[#This Row],[Name]]),Tran[No]),0)</f>
        <v>0</v>
      </c>
      <c r="I4" s="40">
        <f ca="1">IFERROR(SUMIFS(Tran[Cost],Tran[Name],Summary[[#This Row],[Name]])/SUMIFS(Tran[Pur Qty],Tran[Name],Summary[[#This Row],[Name]]),0)</f>
        <v>0</v>
      </c>
      <c r="J4" s="40">
        <f ca="1">Summary[[#This Row],[WAC per unit]]*Summary[[#This Row],[Inventories]]</f>
        <v>0</v>
      </c>
      <c r="K4" s="40">
        <f ca="1">Summary[[#This Row],[WAC per unit]]*Summary[[#This Row],[Sales Qty]]</f>
        <v>0</v>
      </c>
      <c r="L4" s="40">
        <f ca="1">Summary[[#This Row],[Sales]]-Summary[[#This Row],[WAC COS]]</f>
        <v>0</v>
      </c>
    </row>
    <row r="5" spans="1:12" x14ac:dyDescent="0.25">
      <c r="A5" s="4" t="str">
        <f t="array" aca="1" ref="A5" ca="1">_xlfn.IFNA(INDEX(Tran[Name],MATCH(0,COUNTIF(Summary[[#Headers],[Name]]:OFFSET(Summary[[#This Row],[Name]],-1,0),Tran[Name]),0)),"")</f>
        <v/>
      </c>
      <c r="B5" s="9">
        <f ca="1">IFERROR(SUMIFS(Tran[FIFO Left],Tran[Name],Summary[[#This Row],[Name]]),0)</f>
        <v>0</v>
      </c>
      <c r="C5" s="9">
        <f ca="1">IFERROR(SUMIFS(Tran[Valuation],Tran[Name],Summary[[#This Row],[Name]]),0)</f>
        <v>0</v>
      </c>
      <c r="D5" s="9">
        <f ca="1">IFERROR(SUMIFS(Tran[Sale Qty],Tran[Name],Summary[[#This Row],[Name]]),0)</f>
        <v>0</v>
      </c>
      <c r="E5" s="9">
        <f ca="1">IFERROR(SUMIFS(Tran[Sale Amount],Tran[Name],Summary[[#This Row],[Name]]),0)</f>
        <v>0</v>
      </c>
      <c r="F5" s="9">
        <f ca="1">IFERROR(SUMIFS(Tran[FIFO COS],Tran[Name],Summary[[#This Row],[Name]]),0)</f>
        <v>0</v>
      </c>
      <c r="G5" s="9">
        <f ca="1">Summary[[#This Row],[Sales]]-Summary[[#This Row],[FIFO COS]]</f>
        <v>0</v>
      </c>
      <c r="H5" s="9">
        <f ca="1">_xlfn.IFNA(LOOKUP(2,1/(Tran[Name]=Summary[[#This Row],[Name]]),Tran[No]),0)</f>
        <v>0</v>
      </c>
      <c r="I5" s="40">
        <f ca="1">IFERROR(SUMIFS(Tran[Cost],Tran[Name],Summary[[#This Row],[Name]])/SUMIFS(Tran[Pur Qty],Tran[Name],Summary[[#This Row],[Name]]),0)</f>
        <v>0</v>
      </c>
      <c r="J5" s="40">
        <f ca="1">Summary[[#This Row],[WAC per unit]]*Summary[[#This Row],[Inventories]]</f>
        <v>0</v>
      </c>
      <c r="K5" s="40">
        <f ca="1">Summary[[#This Row],[WAC per unit]]*Summary[[#This Row],[Sales Qty]]</f>
        <v>0</v>
      </c>
      <c r="L5" s="40">
        <f ca="1">Summary[[#This Row],[Sales]]-Summary[[#This Row],[WAC COS]]</f>
        <v>0</v>
      </c>
    </row>
    <row r="6" spans="1:12" x14ac:dyDescent="0.25">
      <c r="A6" s="4" t="str">
        <f t="array" aca="1" ref="A6" ca="1">_xlfn.IFNA(INDEX(Tran[Name],MATCH(0,COUNTIF(Summary[[#Headers],[Name]]:OFFSET(Summary[[#This Row],[Name]],-1,0),Tran[Name]),0)),"")</f>
        <v/>
      </c>
      <c r="B6" s="9">
        <f ca="1">IFERROR(SUMIFS(Tran[FIFO Left],Tran[Name],Summary[[#This Row],[Name]]),0)</f>
        <v>0</v>
      </c>
      <c r="C6" s="9">
        <f ca="1">IFERROR(SUMIFS(Tran[Valuation],Tran[Name],Summary[[#This Row],[Name]]),0)</f>
        <v>0</v>
      </c>
      <c r="D6" s="9">
        <f ca="1">IFERROR(SUMIFS(Tran[Sale Qty],Tran[Name],Summary[[#This Row],[Name]]),0)</f>
        <v>0</v>
      </c>
      <c r="E6" s="9">
        <f ca="1">IFERROR(SUMIFS(Tran[Sale Amount],Tran[Name],Summary[[#This Row],[Name]]),0)</f>
        <v>0</v>
      </c>
      <c r="F6" s="9">
        <f ca="1">IFERROR(SUMIFS(Tran[FIFO COS],Tran[Name],Summary[[#This Row],[Name]]),0)</f>
        <v>0</v>
      </c>
      <c r="G6" s="9">
        <f ca="1">Summary[[#This Row],[Sales]]-Summary[[#This Row],[FIFO COS]]</f>
        <v>0</v>
      </c>
      <c r="H6" s="9">
        <f ca="1">_xlfn.IFNA(LOOKUP(2,1/(Tran[Name]=Summary[[#This Row],[Name]]),Tran[No]),0)</f>
        <v>0</v>
      </c>
      <c r="I6" s="40">
        <f ca="1">IFERROR(SUMIFS(Tran[Cost],Tran[Name],Summary[[#This Row],[Name]])/SUMIFS(Tran[Pur Qty],Tran[Name],Summary[[#This Row],[Name]]),0)</f>
        <v>0</v>
      </c>
      <c r="J6" s="40">
        <f ca="1">Summary[[#This Row],[WAC per unit]]*Summary[[#This Row],[Inventories]]</f>
        <v>0</v>
      </c>
      <c r="K6" s="40">
        <f ca="1">Summary[[#This Row],[WAC per unit]]*Summary[[#This Row],[Sales Qty]]</f>
        <v>0</v>
      </c>
      <c r="L6" s="40">
        <f ca="1">Summary[[#This Row],[Sales]]-Summary[[#This Row],[WAC COS]]</f>
        <v>0</v>
      </c>
    </row>
    <row r="7" spans="1:12" x14ac:dyDescent="0.25">
      <c r="A7" s="4" t="str">
        <f t="array" aca="1" ref="A7" ca="1">_xlfn.IFNA(INDEX(Tran[Name],MATCH(0,COUNTIF(Summary[[#Headers],[Name]]:OFFSET(Summary[[#This Row],[Name]],-1,0),Tran[Name]),0)),"")</f>
        <v/>
      </c>
      <c r="B7" s="9">
        <f ca="1">IFERROR(SUMIFS(Tran[FIFO Left],Tran[Name],Summary[[#This Row],[Name]]),0)</f>
        <v>0</v>
      </c>
      <c r="C7" s="9">
        <f ca="1">IFERROR(SUMIFS(Tran[Valuation],Tran[Name],Summary[[#This Row],[Name]]),0)</f>
        <v>0</v>
      </c>
      <c r="D7" s="9">
        <f ca="1">IFERROR(SUMIFS(Tran[Sale Qty],Tran[Name],Summary[[#This Row],[Name]]),0)</f>
        <v>0</v>
      </c>
      <c r="E7" s="9">
        <f ca="1">IFERROR(SUMIFS(Tran[Sale Amount],Tran[Name],Summary[[#This Row],[Name]]),0)</f>
        <v>0</v>
      </c>
      <c r="F7" s="9">
        <f ca="1">IFERROR(SUMIFS(Tran[FIFO COS],Tran[Name],Summary[[#This Row],[Name]]),0)</f>
        <v>0</v>
      </c>
      <c r="G7" s="9">
        <f ca="1">Summary[[#This Row],[Sales]]-Summary[[#This Row],[FIFO COS]]</f>
        <v>0</v>
      </c>
      <c r="H7" s="9">
        <f ca="1">_xlfn.IFNA(LOOKUP(2,1/(Tran[Name]=Summary[[#This Row],[Name]]),Tran[No]),0)</f>
        <v>0</v>
      </c>
      <c r="I7" s="40">
        <f ca="1">IFERROR(SUMIFS(Tran[Cost],Tran[Name],Summary[[#This Row],[Name]])/SUMIFS(Tran[Pur Qty],Tran[Name],Summary[[#This Row],[Name]]),0)</f>
        <v>0</v>
      </c>
      <c r="J7" s="40">
        <f ca="1">Summary[[#This Row],[WAC per unit]]*Summary[[#This Row],[Inventories]]</f>
        <v>0</v>
      </c>
      <c r="K7" s="40">
        <f ca="1">Summary[[#This Row],[WAC per unit]]*Summary[[#This Row],[Sales Qty]]</f>
        <v>0</v>
      </c>
      <c r="L7" s="40">
        <f ca="1">Summary[[#This Row],[Sales]]-Summary[[#This Row],[WAC COS]]</f>
        <v>0</v>
      </c>
    </row>
    <row r="8" spans="1:12" x14ac:dyDescent="0.25">
      <c r="A8" s="4" t="str">
        <f t="array" aca="1" ref="A8" ca="1">_xlfn.IFNA(INDEX(Tran[Name],MATCH(0,COUNTIF(Summary[[#Headers],[Name]]:OFFSET(Summary[[#This Row],[Name]],-1,0),Tran[Name]),0)),"")</f>
        <v/>
      </c>
      <c r="B8" s="9">
        <f ca="1">IFERROR(SUMIFS(Tran[FIFO Left],Tran[Name],Summary[[#This Row],[Name]]),0)</f>
        <v>0</v>
      </c>
      <c r="C8" s="9">
        <f ca="1">IFERROR(SUMIFS(Tran[Valuation],Tran[Name],Summary[[#This Row],[Name]]),0)</f>
        <v>0</v>
      </c>
      <c r="D8" s="9">
        <f ca="1">IFERROR(SUMIFS(Tran[Sale Qty],Tran[Name],Summary[[#This Row],[Name]]),0)</f>
        <v>0</v>
      </c>
      <c r="E8" s="9">
        <f ca="1">IFERROR(SUMIFS(Tran[Sale Amount],Tran[Name],Summary[[#This Row],[Name]]),0)</f>
        <v>0</v>
      </c>
      <c r="F8" s="9">
        <f ca="1">IFERROR(SUMIFS(Tran[FIFO COS],Tran[Name],Summary[[#This Row],[Name]]),0)</f>
        <v>0</v>
      </c>
      <c r="G8" s="9">
        <f ca="1">Summary[[#This Row],[Sales]]-Summary[[#This Row],[FIFO COS]]</f>
        <v>0</v>
      </c>
      <c r="H8" s="9">
        <f ca="1">_xlfn.IFNA(LOOKUP(2,1/(Tran[Name]=Summary[[#This Row],[Name]]),Tran[No]),0)</f>
        <v>0</v>
      </c>
      <c r="I8" s="40">
        <f ca="1">IFERROR(SUMIFS(Tran[Cost],Tran[Name],Summary[[#This Row],[Name]])/SUMIFS(Tran[Pur Qty],Tran[Name],Summary[[#This Row],[Name]]),0)</f>
        <v>0</v>
      </c>
      <c r="J8" s="40">
        <f ca="1">Summary[[#This Row],[WAC per unit]]*Summary[[#This Row],[Inventories]]</f>
        <v>0</v>
      </c>
      <c r="K8" s="40">
        <f ca="1">Summary[[#This Row],[WAC per unit]]*Summary[[#This Row],[Sales Qty]]</f>
        <v>0</v>
      </c>
      <c r="L8" s="40">
        <f ca="1">Summary[[#This Row],[Sales]]-Summary[[#This Row],[WAC COS]]</f>
        <v>0</v>
      </c>
    </row>
    <row r="9" spans="1:12" x14ac:dyDescent="0.25">
      <c r="A9" s="4" t="str">
        <f t="array" aca="1" ref="A9" ca="1">_xlfn.IFNA(INDEX(Tran[Name],MATCH(0,COUNTIF(Summary[[#Headers],[Name]]:OFFSET(Summary[[#This Row],[Name]],-1,0),Tran[Name]),0)),"")</f>
        <v/>
      </c>
      <c r="B9" s="9">
        <f ca="1">IFERROR(SUMIFS(Tran[FIFO Left],Tran[Name],Summary[[#This Row],[Name]]),0)</f>
        <v>0</v>
      </c>
      <c r="C9" s="9">
        <f ca="1">IFERROR(SUMIFS(Tran[Valuation],Tran[Name],Summary[[#This Row],[Name]]),0)</f>
        <v>0</v>
      </c>
      <c r="D9" s="9">
        <f ca="1">IFERROR(SUMIFS(Tran[Sale Qty],Tran[Name],Summary[[#This Row],[Name]]),0)</f>
        <v>0</v>
      </c>
      <c r="E9" s="9">
        <f ca="1">IFERROR(SUMIFS(Tran[Sale Amount],Tran[Name],Summary[[#This Row],[Name]]),0)</f>
        <v>0</v>
      </c>
      <c r="F9" s="9">
        <f ca="1">IFERROR(SUMIFS(Tran[FIFO COS],Tran[Name],Summary[[#This Row],[Name]]),0)</f>
        <v>0</v>
      </c>
      <c r="G9" s="9">
        <f ca="1">Summary[[#This Row],[Sales]]-Summary[[#This Row],[FIFO COS]]</f>
        <v>0</v>
      </c>
      <c r="H9" s="9">
        <f ca="1">_xlfn.IFNA(LOOKUP(2,1/(Tran[Name]=Summary[[#This Row],[Name]]),Tran[No]),0)</f>
        <v>0</v>
      </c>
      <c r="I9" s="40">
        <f ca="1">IFERROR(SUMIFS(Tran[Cost],Tran[Name],Summary[[#This Row],[Name]])/SUMIFS(Tran[Pur Qty],Tran[Name],Summary[[#This Row],[Name]]),0)</f>
        <v>0</v>
      </c>
      <c r="J9" s="40">
        <f ca="1">Summary[[#This Row],[WAC per unit]]*Summary[[#This Row],[Inventories]]</f>
        <v>0</v>
      </c>
      <c r="K9" s="40">
        <f ca="1">Summary[[#This Row],[WAC per unit]]*Summary[[#This Row],[Sales Qty]]</f>
        <v>0</v>
      </c>
      <c r="L9" s="40">
        <f ca="1">Summary[[#This Row],[Sales]]-Summary[[#This Row],[WAC COS]]</f>
        <v>0</v>
      </c>
    </row>
    <row r="10" spans="1:12" x14ac:dyDescent="0.25">
      <c r="A10" s="4" t="str">
        <f t="array" aca="1" ref="A10" ca="1">_xlfn.IFNA(INDEX(Tran[Name],MATCH(0,COUNTIF(Summary[[#Headers],[Name]]:OFFSET(Summary[[#This Row],[Name]],-1,0),Tran[Name]),0)),"")</f>
        <v/>
      </c>
      <c r="B10" s="9">
        <f ca="1">IFERROR(SUMIFS(Tran[FIFO Left],Tran[Name],Summary[[#This Row],[Name]]),0)</f>
        <v>0</v>
      </c>
      <c r="C10" s="9">
        <f ca="1">IFERROR(SUMIFS(Tran[Valuation],Tran[Name],Summary[[#This Row],[Name]]),0)</f>
        <v>0</v>
      </c>
      <c r="D10" s="9">
        <f ca="1">IFERROR(SUMIFS(Tran[Sale Qty],Tran[Name],Summary[[#This Row],[Name]]),0)</f>
        <v>0</v>
      </c>
      <c r="E10" s="9">
        <f ca="1">IFERROR(SUMIFS(Tran[Sale Amount],Tran[Name],Summary[[#This Row],[Name]]),0)</f>
        <v>0</v>
      </c>
      <c r="F10" s="9">
        <f ca="1">IFERROR(SUMIFS(Tran[FIFO COS],Tran[Name],Summary[[#This Row],[Name]]),0)</f>
        <v>0</v>
      </c>
      <c r="G10" s="9">
        <f ca="1">Summary[[#This Row],[Sales]]-Summary[[#This Row],[FIFO COS]]</f>
        <v>0</v>
      </c>
      <c r="H10" s="9">
        <f ca="1">_xlfn.IFNA(LOOKUP(2,1/(Tran[Name]=Summary[[#This Row],[Name]]),Tran[No]),0)</f>
        <v>0</v>
      </c>
      <c r="I10" s="40">
        <f ca="1">IFERROR(SUMIFS(Tran[Cost],Tran[Name],Summary[[#This Row],[Name]])/SUMIFS(Tran[Pur Qty],Tran[Name],Summary[[#This Row],[Name]]),0)</f>
        <v>0</v>
      </c>
      <c r="J10" s="40">
        <f ca="1">Summary[[#This Row],[WAC per unit]]*Summary[[#This Row],[Inventories]]</f>
        <v>0</v>
      </c>
      <c r="K10" s="40">
        <f ca="1">Summary[[#This Row],[WAC per unit]]*Summary[[#This Row],[Sales Qty]]</f>
        <v>0</v>
      </c>
      <c r="L10" s="40">
        <f ca="1">Summary[[#This Row],[Sales]]-Summary[[#This Row],[WAC COS]]</f>
        <v>0</v>
      </c>
    </row>
    <row r="11" spans="1:12" x14ac:dyDescent="0.25">
      <c r="A11" s="4" t="str">
        <f t="array" aca="1" ref="A11" ca="1">_xlfn.IFNA(INDEX(Tran[Name],MATCH(0,COUNTIF(Summary[[#Headers],[Name]]:OFFSET(Summary[[#This Row],[Name]],-1,0),Tran[Name]),0)),"")</f>
        <v/>
      </c>
      <c r="B11" s="9">
        <f ca="1">IFERROR(SUMIFS(Tran[FIFO Left],Tran[Name],Summary[[#This Row],[Name]]),0)</f>
        <v>0</v>
      </c>
      <c r="C11" s="9">
        <f ca="1">IFERROR(SUMIFS(Tran[Valuation],Tran[Name],Summary[[#This Row],[Name]]),0)</f>
        <v>0</v>
      </c>
      <c r="D11" s="9">
        <f ca="1">IFERROR(SUMIFS(Tran[Sale Qty],Tran[Name],Summary[[#This Row],[Name]]),0)</f>
        <v>0</v>
      </c>
      <c r="E11" s="9">
        <f ca="1">IFERROR(SUMIFS(Tran[Sale Amount],Tran[Name],Summary[[#This Row],[Name]]),0)</f>
        <v>0</v>
      </c>
      <c r="F11" s="9">
        <f ca="1">IFERROR(SUMIFS(Tran[FIFO COS],Tran[Name],Summary[[#This Row],[Name]]),0)</f>
        <v>0</v>
      </c>
      <c r="G11" s="9">
        <f ca="1">Summary[[#This Row],[Sales]]-Summary[[#This Row],[FIFO COS]]</f>
        <v>0</v>
      </c>
      <c r="H11" s="9">
        <f ca="1">_xlfn.IFNA(LOOKUP(2,1/(Tran[Name]=Summary[[#This Row],[Name]]),Tran[No]),0)</f>
        <v>0</v>
      </c>
      <c r="I11" s="40">
        <f ca="1">IFERROR(SUMIFS(Tran[Cost],Tran[Name],Summary[[#This Row],[Name]])/SUMIFS(Tran[Pur Qty],Tran[Name],Summary[[#This Row],[Name]]),0)</f>
        <v>0</v>
      </c>
      <c r="J11" s="40">
        <f ca="1">Summary[[#This Row],[WAC per unit]]*Summary[[#This Row],[Inventories]]</f>
        <v>0</v>
      </c>
      <c r="K11" s="40">
        <f ca="1">Summary[[#This Row],[WAC per unit]]*Summary[[#This Row],[Sales Qty]]</f>
        <v>0</v>
      </c>
      <c r="L11" s="40">
        <f ca="1">Summary[[#This Row],[Sales]]-Summary[[#This Row],[WAC COS]]</f>
        <v>0</v>
      </c>
    </row>
    <row r="12" spans="1:12" x14ac:dyDescent="0.25">
      <c r="A12" s="4" t="str">
        <f t="array" aca="1" ref="A12" ca="1">_xlfn.IFNA(INDEX(Tran[Name],MATCH(0,COUNTIF(Summary[[#Headers],[Name]]:OFFSET(Summary[[#This Row],[Name]],-1,0),Tran[Name]),0)),"")</f>
        <v/>
      </c>
      <c r="B12" s="9">
        <f ca="1">IFERROR(SUMIFS(Tran[FIFO Left],Tran[Name],Summary[[#This Row],[Name]]),0)</f>
        <v>0</v>
      </c>
      <c r="C12" s="9">
        <f ca="1">IFERROR(SUMIFS(Tran[Valuation],Tran[Name],Summary[[#This Row],[Name]]),0)</f>
        <v>0</v>
      </c>
      <c r="D12" s="9">
        <f ca="1">IFERROR(SUMIFS(Tran[Sale Qty],Tran[Name],Summary[[#This Row],[Name]]),0)</f>
        <v>0</v>
      </c>
      <c r="E12" s="9">
        <f ca="1">IFERROR(SUMIFS(Tran[Sale Amount],Tran[Name],Summary[[#This Row],[Name]]),0)</f>
        <v>0</v>
      </c>
      <c r="F12" s="9">
        <f ca="1">IFERROR(SUMIFS(Tran[FIFO COS],Tran[Name],Summary[[#This Row],[Name]]),0)</f>
        <v>0</v>
      </c>
      <c r="G12" s="9">
        <f ca="1">Summary[[#This Row],[Sales]]-Summary[[#This Row],[FIFO COS]]</f>
        <v>0</v>
      </c>
      <c r="H12" s="9">
        <f ca="1">_xlfn.IFNA(LOOKUP(2,1/(Tran[Name]=Summary[[#This Row],[Name]]),Tran[No]),0)</f>
        <v>0</v>
      </c>
      <c r="I12" s="40">
        <f ca="1">IFERROR(SUMIFS(Tran[Cost],Tran[Name],Summary[[#This Row],[Name]])/SUMIFS(Tran[Pur Qty],Tran[Name],Summary[[#This Row],[Name]]),0)</f>
        <v>0</v>
      </c>
      <c r="J12" s="40">
        <f ca="1">Summary[[#This Row],[WAC per unit]]*Summary[[#This Row],[Inventories]]</f>
        <v>0</v>
      </c>
      <c r="K12" s="40">
        <f ca="1">Summary[[#This Row],[WAC per unit]]*Summary[[#This Row],[Sales Qty]]</f>
        <v>0</v>
      </c>
      <c r="L12" s="40">
        <f ca="1">Summary[[#This Row],[Sales]]-Summary[[#This Row],[WAC COS]]</f>
        <v>0</v>
      </c>
    </row>
    <row r="13" spans="1:12" x14ac:dyDescent="0.25">
      <c r="A13" s="4" t="str">
        <f t="array" aca="1" ref="A13" ca="1">_xlfn.IFNA(INDEX(Tran[Name],MATCH(0,COUNTIF(Summary[[#Headers],[Name]]:OFFSET(Summary[[#This Row],[Name]],-1,0),Tran[Name]),0)),"")</f>
        <v/>
      </c>
      <c r="B13" s="9">
        <f ca="1">IFERROR(SUMIFS(Tran[FIFO Left],Tran[Name],Summary[[#This Row],[Name]]),0)</f>
        <v>0</v>
      </c>
      <c r="C13" s="9">
        <f ca="1">IFERROR(SUMIFS(Tran[Valuation],Tran[Name],Summary[[#This Row],[Name]]),0)</f>
        <v>0</v>
      </c>
      <c r="D13" s="9">
        <f ca="1">IFERROR(SUMIFS(Tran[Sale Qty],Tran[Name],Summary[[#This Row],[Name]]),0)</f>
        <v>0</v>
      </c>
      <c r="E13" s="9">
        <f ca="1">IFERROR(SUMIFS(Tran[Sale Amount],Tran[Name],Summary[[#This Row],[Name]]),0)</f>
        <v>0</v>
      </c>
      <c r="F13" s="9">
        <f ca="1">IFERROR(SUMIFS(Tran[FIFO COS],Tran[Name],Summary[[#This Row],[Name]]),0)</f>
        <v>0</v>
      </c>
      <c r="G13" s="9">
        <f ca="1">Summary[[#This Row],[Sales]]-Summary[[#This Row],[FIFO COS]]</f>
        <v>0</v>
      </c>
      <c r="H13" s="9">
        <f ca="1">_xlfn.IFNA(LOOKUP(2,1/(Tran[Name]=Summary[[#This Row],[Name]]),Tran[No]),0)</f>
        <v>0</v>
      </c>
      <c r="I13" s="40">
        <f ca="1">IFERROR(SUMIFS(Tran[Cost],Tran[Name],Summary[[#This Row],[Name]])/SUMIFS(Tran[Pur Qty],Tran[Name],Summary[[#This Row],[Name]]),0)</f>
        <v>0</v>
      </c>
      <c r="J13" s="40">
        <f ca="1">Summary[[#This Row],[WAC per unit]]*Summary[[#This Row],[Inventories]]</f>
        <v>0</v>
      </c>
      <c r="K13" s="40">
        <f ca="1">Summary[[#This Row],[WAC per unit]]*Summary[[#This Row],[Sales Qty]]</f>
        <v>0</v>
      </c>
      <c r="L13" s="40">
        <f ca="1">Summary[[#This Row],[Sales]]-Summary[[#This Row],[WAC COS]]</f>
        <v>0</v>
      </c>
    </row>
    <row r="14" spans="1:12" x14ac:dyDescent="0.25">
      <c r="A14" s="4" t="str">
        <f t="array" aca="1" ref="A14" ca="1">_xlfn.IFNA(INDEX(Tran[Name],MATCH(0,COUNTIF(Summary[[#Headers],[Name]]:OFFSET(Summary[[#This Row],[Name]],-1,0),Tran[Name]),0)),"")</f>
        <v/>
      </c>
      <c r="B14" s="9">
        <f ca="1">IFERROR(SUMIFS(Tran[FIFO Left],Tran[Name],Summary[[#This Row],[Name]]),0)</f>
        <v>0</v>
      </c>
      <c r="C14" s="9">
        <f ca="1">IFERROR(SUMIFS(Tran[Valuation],Tran[Name],Summary[[#This Row],[Name]]),0)</f>
        <v>0</v>
      </c>
      <c r="D14" s="9">
        <f ca="1">IFERROR(SUMIFS(Tran[Sale Qty],Tran[Name],Summary[[#This Row],[Name]]),0)</f>
        <v>0</v>
      </c>
      <c r="E14" s="9">
        <f ca="1">IFERROR(SUMIFS(Tran[Sale Amount],Tran[Name],Summary[[#This Row],[Name]]),0)</f>
        <v>0</v>
      </c>
      <c r="F14" s="9">
        <f ca="1">IFERROR(SUMIFS(Tran[FIFO COS],Tran[Name],Summary[[#This Row],[Name]]),0)</f>
        <v>0</v>
      </c>
      <c r="G14" s="9">
        <f ca="1">Summary[[#This Row],[Sales]]-Summary[[#This Row],[FIFO COS]]</f>
        <v>0</v>
      </c>
      <c r="H14" s="9">
        <f ca="1">_xlfn.IFNA(LOOKUP(2,1/(Tran[Name]=Summary[[#This Row],[Name]]),Tran[No]),0)</f>
        <v>0</v>
      </c>
      <c r="I14" s="40">
        <f ca="1">IFERROR(SUMIFS(Tran[Cost],Tran[Name],Summary[[#This Row],[Name]])/SUMIFS(Tran[Pur Qty],Tran[Name],Summary[[#This Row],[Name]]),0)</f>
        <v>0</v>
      </c>
      <c r="J14" s="40">
        <f ca="1">Summary[[#This Row],[WAC per unit]]*Summary[[#This Row],[Inventories]]</f>
        <v>0</v>
      </c>
      <c r="K14" s="40">
        <f ca="1">Summary[[#This Row],[WAC per unit]]*Summary[[#This Row],[Sales Qty]]</f>
        <v>0</v>
      </c>
      <c r="L14" s="40">
        <f ca="1">Summary[[#This Row],[Sales]]-Summary[[#This Row],[WAC COS]]</f>
        <v>0</v>
      </c>
    </row>
    <row r="15" spans="1:12" x14ac:dyDescent="0.25">
      <c r="A15" s="4" t="str">
        <f t="array" aca="1" ref="A15" ca="1">_xlfn.IFNA(INDEX(Tran[Name],MATCH(0,COUNTIF(Summary[[#Headers],[Name]]:OFFSET(Summary[[#This Row],[Name]],-1,0),Tran[Name]),0)),"")</f>
        <v/>
      </c>
      <c r="B15" s="9">
        <f ca="1">IFERROR(SUMIFS(Tran[FIFO Left],Tran[Name],Summary[[#This Row],[Name]]),0)</f>
        <v>0</v>
      </c>
      <c r="C15" s="9">
        <f ca="1">IFERROR(SUMIFS(Tran[Valuation],Tran[Name],Summary[[#This Row],[Name]]),0)</f>
        <v>0</v>
      </c>
      <c r="D15" s="9">
        <f ca="1">IFERROR(SUMIFS(Tran[Sale Qty],Tran[Name],Summary[[#This Row],[Name]]),0)</f>
        <v>0</v>
      </c>
      <c r="E15" s="9">
        <f ca="1">IFERROR(SUMIFS(Tran[Sale Amount],Tran[Name],Summary[[#This Row],[Name]]),0)</f>
        <v>0</v>
      </c>
      <c r="F15" s="9">
        <f ca="1">IFERROR(SUMIFS(Tran[FIFO COS],Tran[Name],Summary[[#This Row],[Name]]),0)</f>
        <v>0</v>
      </c>
      <c r="G15" s="9">
        <f ca="1">Summary[[#This Row],[Sales]]-Summary[[#This Row],[FIFO COS]]</f>
        <v>0</v>
      </c>
      <c r="H15" s="9">
        <f ca="1">_xlfn.IFNA(LOOKUP(2,1/(Tran[Name]=Summary[[#This Row],[Name]]),Tran[No]),0)</f>
        <v>0</v>
      </c>
      <c r="I15" s="40">
        <f ca="1">IFERROR(SUMIFS(Tran[Cost],Tran[Name],Summary[[#This Row],[Name]])/SUMIFS(Tran[Pur Qty],Tran[Name],Summary[[#This Row],[Name]]),0)</f>
        <v>0</v>
      </c>
      <c r="J15" s="40">
        <f ca="1">Summary[[#This Row],[WAC per unit]]*Summary[[#This Row],[Inventories]]</f>
        <v>0</v>
      </c>
      <c r="K15" s="40">
        <f ca="1">Summary[[#This Row],[WAC per unit]]*Summary[[#This Row],[Sales Qty]]</f>
        <v>0</v>
      </c>
      <c r="L15" s="40">
        <f ca="1">Summary[[#This Row],[Sales]]-Summary[[#This Row],[WAC COS]]</f>
        <v>0</v>
      </c>
    </row>
    <row r="16" spans="1:12" x14ac:dyDescent="0.25">
      <c r="A16" t="s">
        <v>23</v>
      </c>
      <c r="B16" s="13">
        <f ca="1">SUBTOTAL(109,Summary[Inventories])</f>
        <v>11</v>
      </c>
      <c r="C16" s="13">
        <f ca="1">SUBTOTAL(109,Summary[Valuation])</f>
        <v>63000</v>
      </c>
      <c r="D16" s="13">
        <f ca="1">SUBTOTAL(109,Summary[Sales Qty])</f>
        <v>14</v>
      </c>
      <c r="E16" s="13">
        <f ca="1">SUBTOTAL(109,Summary[Sales])</f>
        <v>83100</v>
      </c>
      <c r="F16" s="13">
        <f ca="1">SUBTOTAL(109,Summary[FIFO COS])</f>
        <v>77000</v>
      </c>
      <c r="G16" s="13">
        <f ca="1">SUBTOTAL(109,Summary[Profit])</f>
        <v>6100</v>
      </c>
      <c r="H16" s="12"/>
      <c r="I16" s="13"/>
      <c r="J16" s="13">
        <f ca="1">SUBTOTAL(109,Summary[WAC Valuation])</f>
        <v>62066.666666666664</v>
      </c>
      <c r="K16" s="13">
        <f ca="1">SUBTOTAL(109,Summary[WAC COS])</f>
        <v>77933.333333333328</v>
      </c>
      <c r="L16" s="13">
        <f ca="1">SUBTOTAL(109,Summary[WAC Profit])</f>
        <v>5166.6666666666715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E20"/>
  <sheetViews>
    <sheetView workbookViewId="0">
      <selection activeCell="B6" sqref="B6"/>
    </sheetView>
  </sheetViews>
  <sheetFormatPr defaultRowHeight="13.8" x14ac:dyDescent="0.25"/>
  <cols>
    <col min="1" max="6" width="10.88671875" customWidth="1"/>
  </cols>
  <sheetData>
    <row r="6" spans="1:5" x14ac:dyDescent="0.25">
      <c r="A6" t="s">
        <v>33</v>
      </c>
      <c r="B6" s="11">
        <v>42855</v>
      </c>
      <c r="C6" s="11"/>
    </row>
    <row r="7" spans="1:5" x14ac:dyDescent="0.25">
      <c r="A7" t="s">
        <v>34</v>
      </c>
      <c r="B7" s="11">
        <v>43063</v>
      </c>
      <c r="C7" s="11"/>
    </row>
    <row r="9" spans="1:5" x14ac:dyDescent="0.25">
      <c r="A9" t="s">
        <v>0</v>
      </c>
      <c r="B9" t="s">
        <v>16</v>
      </c>
      <c r="C9" t="s">
        <v>35</v>
      </c>
      <c r="D9" t="s">
        <v>19</v>
      </c>
      <c r="E9" t="s">
        <v>21</v>
      </c>
    </row>
    <row r="10" spans="1:5" x14ac:dyDescent="0.25">
      <c r="A10" s="4" t="str">
        <f t="array" aca="1" ref="A10" ca="1">_xlfn.IFNA(INDEX(Tran[Name],MATCH(0,COUNTIF(Table4[[#Headers],[Name]]:OFFSET(Table4[[#This Row],[Name]],-1,0),Tran[Name]),0)),"")</f>
        <v>B</v>
      </c>
      <c r="B10" s="9">
        <f ca="1">SUMIFS(Tran[Pur Qty],Tran[Name],Table4[[#This Row],[Name]],Tran[Date],"&gt;="&amp;R_IniDate,Tran[Date],"&lt;="&amp;R_EndDate)</f>
        <v>5</v>
      </c>
      <c r="C10" s="4">
        <f ca="1">SUMIFS(Tran[Cost],Tran[Name],Table4[[#This Row],[Name]],Tran[Date],"&gt;="&amp;R_IniDate,Tran[Date],"&lt;="&amp;R_EndDate)</f>
        <v>30000</v>
      </c>
      <c r="D10" s="9">
        <f ca="1">SUMIFS(Tran[Sale Qty],Tran[Name],Table4[[#This Row],[Name]],Tran[Date],"&gt;="&amp;R_IniDate,Tran[Date],"&lt;="&amp;R_EndDate)</f>
        <v>1</v>
      </c>
      <c r="E10" s="4">
        <f ca="1">SUMIFS(Tran[Sale Amount],Tran[Name],Table4[[#This Row],[Name]],Tran[Date],"&gt;="&amp;R_IniDate,Tran[Date],"&lt;="&amp;R_EndDate)</f>
        <v>5500</v>
      </c>
    </row>
    <row r="11" spans="1:5" x14ac:dyDescent="0.25">
      <c r="A11" s="4" t="str">
        <f t="array" aca="1" ref="A11" ca="1">_xlfn.IFNA(INDEX(Tran[Name],MATCH(0,COUNTIF(Table4[[#Headers],[Name]]:OFFSET(Table4[[#This Row],[Name]],-1,0),Tran[Name]),0)),"")</f>
        <v>A</v>
      </c>
      <c r="B11" s="9">
        <f ca="1">SUMIFS(Tran[Pur Qty],Tran[Name],Table4[[#This Row],[Name]],Tran[Date],"&gt;="&amp;R_IniDate,Tran[Date],"&lt;="&amp;R_EndDate)</f>
        <v>10</v>
      </c>
      <c r="C11" s="4">
        <f ca="1">SUMIFS(Tran[Cost],Tran[Name],Table4[[#This Row],[Name]],Tran[Date],"&gt;="&amp;R_IniDate,Tran[Date],"&lt;="&amp;R_EndDate)</f>
        <v>54000</v>
      </c>
      <c r="D11" s="9">
        <f ca="1">SUMIFS(Tran[Sale Qty],Tran[Name],Table4[[#This Row],[Name]],Tran[Date],"&gt;="&amp;R_IniDate,Tran[Date],"&lt;="&amp;R_EndDate)</f>
        <v>7</v>
      </c>
      <c r="E11" s="4">
        <f ca="1">SUMIFS(Tran[Sale Amount],Tran[Name],Table4[[#This Row],[Name]],Tran[Date],"&gt;="&amp;R_IniDate,Tran[Date],"&lt;="&amp;R_EndDate)</f>
        <v>41600</v>
      </c>
    </row>
    <row r="12" spans="1:5" x14ac:dyDescent="0.25">
      <c r="A12" s="4">
        <f t="array" aca="1" ref="A12" ca="1">_xlfn.IFNA(INDEX(Tran[Name],MATCH(0,COUNTIF(Table4[[#Headers],[Name]]:OFFSET(Table4[[#This Row],[Name]],-1,0),Tran[Name]),0)),"")</f>
        <v>0</v>
      </c>
      <c r="B12" s="9">
        <f ca="1">SUMIFS(Tran[Pur Qty],Tran[Name],Table4[[#This Row],[Name]],Tran[Date],"&gt;="&amp;R_IniDate,Tran[Date],"&lt;="&amp;R_EndDate)</f>
        <v>0</v>
      </c>
      <c r="C12" s="4">
        <f ca="1">SUMIFS(Tran[Cost],Tran[Name],Table4[[#This Row],[Name]],Tran[Date],"&gt;="&amp;R_IniDate,Tran[Date],"&lt;="&amp;R_EndDate)</f>
        <v>0</v>
      </c>
      <c r="D12" s="9">
        <f ca="1">SUMIFS(Tran[Sale Qty],Tran[Name],Table4[[#This Row],[Name]],Tran[Date],"&gt;="&amp;R_IniDate,Tran[Date],"&lt;="&amp;R_EndDate)</f>
        <v>0</v>
      </c>
      <c r="E12" s="4">
        <f ca="1">SUMIFS(Tran[Sale Amount],Tran[Name],Table4[[#This Row],[Name]],Tran[Date],"&gt;="&amp;R_IniDate,Tran[Date],"&lt;="&amp;R_EndDate)</f>
        <v>0</v>
      </c>
    </row>
    <row r="13" spans="1:5" x14ac:dyDescent="0.25">
      <c r="A13" s="4" t="str">
        <f t="array" aca="1" ref="A13" ca="1">_xlfn.IFNA(INDEX(Tran[Name],MATCH(0,COUNTIF(Table4[[#Headers],[Name]]:OFFSET(Table4[[#This Row],[Name]],-1,0),Tran[Name]),0)),"")</f>
        <v/>
      </c>
      <c r="B13" s="9">
        <f ca="1">SUMIFS(Tran[Pur Qty],Tran[Name],Table4[[#This Row],[Name]],Tran[Date],"&gt;="&amp;R_IniDate,Tran[Date],"&lt;="&amp;R_EndDate)</f>
        <v>0</v>
      </c>
      <c r="C13" s="4">
        <f ca="1">SUMIFS(Tran[Cost],Tran[Name],Table4[[#This Row],[Name]],Tran[Date],"&gt;="&amp;R_IniDate,Tran[Date],"&lt;="&amp;R_EndDate)</f>
        <v>0</v>
      </c>
      <c r="D13" s="9">
        <f ca="1">SUMIFS(Tran[Sale Qty],Tran[Name],Table4[[#This Row],[Name]],Tran[Date],"&gt;="&amp;R_IniDate,Tran[Date],"&lt;="&amp;R_EndDate)</f>
        <v>0</v>
      </c>
      <c r="E13" s="4">
        <f ca="1">SUMIFS(Tran[Sale Amount],Tran[Name],Table4[[#This Row],[Name]],Tran[Date],"&gt;="&amp;R_IniDate,Tran[Date],"&lt;="&amp;R_EndDate)</f>
        <v>0</v>
      </c>
    </row>
    <row r="14" spans="1:5" x14ac:dyDescent="0.25">
      <c r="A14" s="4" t="str">
        <f t="array" aca="1" ref="A14" ca="1">_xlfn.IFNA(INDEX(Tran[Name],MATCH(0,COUNTIF(Table4[[#Headers],[Name]]:OFFSET(Table4[[#This Row],[Name]],-1,0),Tran[Name]),0)),"")</f>
        <v/>
      </c>
      <c r="B14" s="9">
        <f ca="1">SUMIFS(Tran[Pur Qty],Tran[Name],Table4[[#This Row],[Name]],Tran[Date],"&gt;="&amp;R_IniDate,Tran[Date],"&lt;="&amp;R_EndDate)</f>
        <v>0</v>
      </c>
      <c r="C14" s="4">
        <f ca="1">SUMIFS(Tran[Cost],Tran[Name],Table4[[#This Row],[Name]],Tran[Date],"&gt;="&amp;R_IniDate,Tran[Date],"&lt;="&amp;R_EndDate)</f>
        <v>0</v>
      </c>
      <c r="D14" s="9">
        <f ca="1">SUMIFS(Tran[Sale Qty],Tran[Name],Table4[[#This Row],[Name]],Tran[Date],"&gt;="&amp;R_IniDate,Tran[Date],"&lt;="&amp;R_EndDate)</f>
        <v>0</v>
      </c>
      <c r="E14" s="4">
        <f ca="1">SUMIFS(Tran[Sale Amount],Tran[Name],Table4[[#This Row],[Name]],Tran[Date],"&gt;="&amp;R_IniDate,Tran[Date],"&lt;="&amp;R_EndDate)</f>
        <v>0</v>
      </c>
    </row>
    <row r="15" spans="1:5" x14ac:dyDescent="0.25">
      <c r="A15" s="4" t="str">
        <f t="array" aca="1" ref="A15" ca="1">_xlfn.IFNA(INDEX(Tran[Name],MATCH(0,COUNTIF(Table4[[#Headers],[Name]]:OFFSET(Table4[[#This Row],[Name]],-1,0),Tran[Name]),0)),"")</f>
        <v/>
      </c>
      <c r="B15" s="9">
        <f ca="1">SUMIFS(Tran[Pur Qty],Tran[Name],Table4[[#This Row],[Name]],Tran[Date],"&gt;="&amp;R_IniDate,Tran[Date],"&lt;="&amp;R_EndDate)</f>
        <v>0</v>
      </c>
      <c r="C15" s="4">
        <f ca="1">SUMIFS(Tran[Cost],Tran[Name],Table4[[#This Row],[Name]],Tran[Date],"&gt;="&amp;R_IniDate,Tran[Date],"&lt;="&amp;R_EndDate)</f>
        <v>0</v>
      </c>
      <c r="D15" s="9">
        <f ca="1">SUMIFS(Tran[Sale Qty],Tran[Name],Table4[[#This Row],[Name]],Tran[Date],"&gt;="&amp;R_IniDate,Tran[Date],"&lt;="&amp;R_EndDate)</f>
        <v>0</v>
      </c>
      <c r="E15" s="4">
        <f ca="1">SUMIFS(Tran[Sale Amount],Tran[Name],Table4[[#This Row],[Name]],Tran[Date],"&gt;="&amp;R_IniDate,Tran[Date],"&lt;="&amp;R_EndDate)</f>
        <v>0</v>
      </c>
    </row>
    <row r="16" spans="1:5" x14ac:dyDescent="0.25">
      <c r="A16" s="4" t="str">
        <f t="array" aca="1" ref="A16" ca="1">_xlfn.IFNA(INDEX(Tran[Name],MATCH(0,COUNTIF(Table4[[#Headers],[Name]]:OFFSET(Table4[[#This Row],[Name]],-1,0),Tran[Name]),0)),"")</f>
        <v/>
      </c>
      <c r="B16" s="9">
        <f ca="1">SUMIFS(Tran[Pur Qty],Tran[Name],Table4[[#This Row],[Name]],Tran[Date],"&gt;="&amp;R_IniDate,Tran[Date],"&lt;="&amp;R_EndDate)</f>
        <v>0</v>
      </c>
      <c r="C16" s="4">
        <f ca="1">SUMIFS(Tran[Cost],Tran[Name],Table4[[#This Row],[Name]],Tran[Date],"&gt;="&amp;R_IniDate,Tran[Date],"&lt;="&amp;R_EndDate)</f>
        <v>0</v>
      </c>
      <c r="D16" s="9">
        <f ca="1">SUMIFS(Tran[Sale Qty],Tran[Name],Table4[[#This Row],[Name]],Tran[Date],"&gt;="&amp;R_IniDate,Tran[Date],"&lt;="&amp;R_EndDate)</f>
        <v>0</v>
      </c>
      <c r="E16" s="4">
        <f ca="1">SUMIFS(Tran[Sale Amount],Tran[Name],Table4[[#This Row],[Name]],Tran[Date],"&gt;="&amp;R_IniDate,Tran[Date],"&lt;="&amp;R_EndDate)</f>
        <v>0</v>
      </c>
    </row>
    <row r="17" spans="1:5" x14ac:dyDescent="0.25">
      <c r="A17" s="4" t="str">
        <f t="array" aca="1" ref="A17" ca="1">_xlfn.IFNA(INDEX(Tran[Name],MATCH(0,COUNTIF(Table4[[#Headers],[Name]]:OFFSET(Table4[[#This Row],[Name]],-1,0),Tran[Name]),0)),"")</f>
        <v/>
      </c>
      <c r="B17" s="9">
        <f ca="1">SUMIFS(Tran[Pur Qty],Tran[Name],Table4[[#This Row],[Name]],Tran[Date],"&gt;="&amp;R_IniDate,Tran[Date],"&lt;="&amp;R_EndDate)</f>
        <v>0</v>
      </c>
      <c r="C17" s="4">
        <f ca="1">SUMIFS(Tran[Cost],Tran[Name],Table4[[#This Row],[Name]],Tran[Date],"&gt;="&amp;R_IniDate,Tran[Date],"&lt;="&amp;R_EndDate)</f>
        <v>0</v>
      </c>
      <c r="D17" s="9">
        <f ca="1">SUMIFS(Tran[Sale Qty],Tran[Name],Table4[[#This Row],[Name]],Tran[Date],"&gt;="&amp;R_IniDate,Tran[Date],"&lt;="&amp;R_EndDate)</f>
        <v>0</v>
      </c>
      <c r="E17" s="4">
        <f ca="1">SUMIFS(Tran[Sale Amount],Tran[Name],Table4[[#This Row],[Name]],Tran[Date],"&gt;="&amp;R_IniDate,Tran[Date],"&lt;="&amp;R_EndDate)</f>
        <v>0</v>
      </c>
    </row>
    <row r="18" spans="1:5" x14ac:dyDescent="0.25">
      <c r="A18" s="4" t="str">
        <f t="array" aca="1" ref="A18" ca="1">_xlfn.IFNA(INDEX(Tran[Name],MATCH(0,COUNTIF(Table4[[#Headers],[Name]]:OFFSET(Table4[[#This Row],[Name]],-1,0),Tran[Name]),0)),"")</f>
        <v/>
      </c>
      <c r="B18" s="9">
        <f ca="1">SUMIFS(Tran[Pur Qty],Tran[Name],Table4[[#This Row],[Name]],Tran[Date],"&gt;="&amp;R_IniDate,Tran[Date],"&lt;="&amp;R_EndDate)</f>
        <v>0</v>
      </c>
      <c r="C18" s="4">
        <f ca="1">SUMIFS(Tran[Cost],Tran[Name],Table4[[#This Row],[Name]],Tran[Date],"&gt;="&amp;R_IniDate,Tran[Date],"&lt;="&amp;R_EndDate)</f>
        <v>0</v>
      </c>
      <c r="D18" s="9">
        <f ca="1">SUMIFS(Tran[Sale Qty],Tran[Name],Table4[[#This Row],[Name]],Tran[Date],"&gt;="&amp;R_IniDate,Tran[Date],"&lt;="&amp;R_EndDate)</f>
        <v>0</v>
      </c>
      <c r="E18" s="4">
        <f ca="1">SUMIFS(Tran[Sale Amount],Tran[Name],Table4[[#This Row],[Name]],Tran[Date],"&gt;="&amp;R_IniDate,Tran[Date],"&lt;="&amp;R_EndDate)</f>
        <v>0</v>
      </c>
    </row>
    <row r="19" spans="1:5" x14ac:dyDescent="0.25">
      <c r="A19" s="4" t="str">
        <f t="array" aca="1" ref="A19" ca="1">_xlfn.IFNA(INDEX(Tran[Name],MATCH(0,COUNTIF(Table4[[#Headers],[Name]]:OFFSET(Table4[[#This Row],[Name]],-1,0),Tran[Name]),0)),"")</f>
        <v/>
      </c>
      <c r="B19" s="9">
        <f ca="1">SUMIFS(Tran[Pur Qty],Tran[Name],Table4[[#This Row],[Name]],Tran[Date],"&gt;="&amp;R_IniDate,Tran[Date],"&lt;="&amp;R_EndDate)</f>
        <v>0</v>
      </c>
      <c r="C19" s="4">
        <f ca="1">SUMIFS(Tran[Cost],Tran[Name],Table4[[#This Row],[Name]],Tran[Date],"&gt;="&amp;R_IniDate,Tran[Date],"&lt;="&amp;R_EndDate)</f>
        <v>0</v>
      </c>
      <c r="D19" s="9">
        <f ca="1">SUMIFS(Tran[Sale Qty],Tran[Name],Table4[[#This Row],[Name]],Tran[Date],"&gt;="&amp;R_IniDate,Tran[Date],"&lt;="&amp;R_EndDate)</f>
        <v>0</v>
      </c>
      <c r="E19" s="4">
        <f ca="1">SUMIFS(Tran[Sale Amount],Tran[Name],Table4[[#This Row],[Name]],Tran[Date],"&gt;="&amp;R_IniDate,Tran[Date],"&lt;="&amp;R_EndDate)</f>
        <v>0</v>
      </c>
    </row>
    <row r="20" spans="1:5" x14ac:dyDescent="0.25">
      <c r="A20" s="4" t="str">
        <f t="array" aca="1" ref="A20" ca="1">_xlfn.IFNA(INDEX(Tran[Name],MATCH(0,COUNTIF(Table4[[#Headers],[Name]]:OFFSET(Table4[[#This Row],[Name]],-1,0),Tran[Name]),0)),"")</f>
        <v/>
      </c>
      <c r="B20" s="9">
        <f ca="1">SUMIFS(Tran[Pur Qty],Tran[Name],Table4[[#This Row],[Name]],Tran[Date],"&gt;="&amp;R_IniDate,Tran[Date],"&lt;="&amp;R_EndDate)</f>
        <v>0</v>
      </c>
      <c r="C20" s="4">
        <f ca="1">SUMIFS(Tran[Cost],Tran[Name],Table4[[#This Row],[Name]],Tran[Date],"&gt;="&amp;R_IniDate,Tran[Date],"&lt;="&amp;R_EndDate)</f>
        <v>0</v>
      </c>
      <c r="D20" s="9">
        <f ca="1">SUMIFS(Tran[Sale Qty],Tran[Name],Table4[[#This Row],[Name]],Tran[Date],"&gt;="&amp;R_IniDate,Tran[Date],"&lt;="&amp;R_EndDate)</f>
        <v>0</v>
      </c>
      <c r="E20" s="4">
        <f ca="1">SUMIFS(Tran[Sale Amount],Tran[Name],Table4[[#This Row],[Name]],Tran[Date],"&gt;="&amp;R_IniDate,Tran[Date],"&lt;="&amp;R_EndDate)</f>
        <v>0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7"/>
  <sheetViews>
    <sheetView workbookViewId="0">
      <selection activeCell="B11" sqref="B11"/>
    </sheetView>
  </sheetViews>
  <sheetFormatPr defaultRowHeight="13.8" x14ac:dyDescent="0.25"/>
  <cols>
    <col min="1" max="1" width="3.5546875" bestFit="1" customWidth="1"/>
    <col min="2" max="2" width="22.44140625" customWidth="1"/>
    <col min="3" max="5" width="13.33203125" customWidth="1"/>
  </cols>
  <sheetData>
    <row r="1" spans="1:9" x14ac:dyDescent="0.25">
      <c r="I1" s="30"/>
    </row>
    <row r="5" spans="1:9" x14ac:dyDescent="0.25">
      <c r="A5" s="38" t="s">
        <v>36</v>
      </c>
      <c r="B5" s="38"/>
      <c r="C5" s="38"/>
      <c r="D5" s="38"/>
      <c r="E5" s="38"/>
    </row>
    <row r="6" spans="1:9" x14ac:dyDescent="0.25">
      <c r="A6" s="39" t="s">
        <v>0</v>
      </c>
      <c r="B6" s="39"/>
      <c r="C6" s="14" t="str">
        <f>IFERROR(INDEX(Tran[Customer],MATCH(E6,Tran[Inv No],0)),"-")</f>
        <v>SPHA</v>
      </c>
      <c r="D6" s="15" t="s">
        <v>37</v>
      </c>
      <c r="E6" s="14">
        <f>IF(ISBLANK($I$1),MAX(Tran[Inv No]),$I$1)</f>
        <v>5</v>
      </c>
    </row>
    <row r="7" spans="1:9" x14ac:dyDescent="0.25">
      <c r="A7" s="39" t="s">
        <v>2</v>
      </c>
      <c r="B7" s="39"/>
      <c r="C7" s="14" t="str">
        <f>IFERROR(INDEX(CusLst[Address],MATCH(C6,CusLst[Name],0)),"-")</f>
        <v>Home</v>
      </c>
      <c r="D7" s="15" t="s">
        <v>12</v>
      </c>
      <c r="E7" s="16">
        <f>INDEX(Tran[Date],MATCH(E6,Tran[Inv No],0))</f>
        <v>42925</v>
      </c>
    </row>
    <row r="8" spans="1:9" x14ac:dyDescent="0.25">
      <c r="A8" s="39" t="s">
        <v>1</v>
      </c>
      <c r="B8" s="39"/>
      <c r="C8" s="14" t="str">
        <f>IFERROR(INDEX(CusLst[Phone],MATCH(C6,CusLst[Name],0)),"-")</f>
        <v>09795324721</v>
      </c>
      <c r="D8" s="15"/>
      <c r="E8" s="16"/>
    </row>
    <row r="9" spans="1:9" x14ac:dyDescent="0.25">
      <c r="A9" s="17"/>
      <c r="B9" s="17"/>
      <c r="C9" s="17"/>
      <c r="D9" s="17"/>
      <c r="E9" s="17"/>
    </row>
    <row r="10" spans="1:9" x14ac:dyDescent="0.25">
      <c r="A10" s="18" t="s">
        <v>13</v>
      </c>
      <c r="B10" s="18" t="s">
        <v>38</v>
      </c>
      <c r="C10" s="18" t="s">
        <v>39</v>
      </c>
      <c r="D10" s="18" t="s">
        <v>40</v>
      </c>
      <c r="E10" s="18" t="s">
        <v>41</v>
      </c>
      <c r="I10" s="22" t="s">
        <v>42</v>
      </c>
    </row>
    <row r="11" spans="1:9" x14ac:dyDescent="0.25">
      <c r="A11" s="19">
        <v>1</v>
      </c>
      <c r="B11" s="19" t="str">
        <f>IFERROR(INDEX(Tran[Name],$I11),"")</f>
        <v>A</v>
      </c>
      <c r="C11" s="26">
        <f>IFERROR(INDEX(Tran[Sale Qty],$I11),"")</f>
        <v>5</v>
      </c>
      <c r="D11" s="24">
        <f>IFERROR(INDEX(Tran[Sale Price],$I11),"")</f>
        <v>6000</v>
      </c>
      <c r="E11" s="24">
        <f>IFERROR(INDEX(Tran[Sale Amount],$I11),"")</f>
        <v>30000</v>
      </c>
      <c r="I11" s="23">
        <f>IFERROR(MATCH(IF(ISBLANK($E$6),,"S")&amp;$E$6&amp;A11,Tran[Code],0),"")</f>
        <v>9</v>
      </c>
    </row>
    <row r="12" spans="1:9" x14ac:dyDescent="0.25">
      <c r="A12" s="20">
        <v>2</v>
      </c>
      <c r="B12" s="20" t="str">
        <f>IFERROR(INDEX(Tran[Name],$I12),"")</f>
        <v/>
      </c>
      <c r="C12" s="27" t="str">
        <f>IFERROR(INDEX(Tran[Sale Qty],$I12),"")</f>
        <v/>
      </c>
      <c r="D12" s="24" t="str">
        <f>IFERROR(INDEX(Tran[Sale Price],$I12),"")</f>
        <v/>
      </c>
      <c r="E12" s="24" t="str">
        <f>IFERROR(INDEX(Tran[Sale Amount],$I12),"")</f>
        <v/>
      </c>
      <c r="I12" s="23" t="str">
        <f>IFERROR(MATCH(IF(ISBLANK($E$6),,"S")&amp;$E$6&amp;A12,Tran[Code],0),"")</f>
        <v/>
      </c>
    </row>
    <row r="13" spans="1:9" x14ac:dyDescent="0.25">
      <c r="A13" s="20">
        <v>3</v>
      </c>
      <c r="B13" s="20" t="str">
        <f>IFERROR(INDEX(Tran[Name],$I13),"")</f>
        <v/>
      </c>
      <c r="C13" s="27" t="str">
        <f>IFERROR(INDEX(Tran[Sale Qty],$I13),"")</f>
        <v/>
      </c>
      <c r="D13" s="24" t="str">
        <f>IFERROR(INDEX(Tran[Sale Price],$I13),"")</f>
        <v/>
      </c>
      <c r="E13" s="24" t="str">
        <f>IFERROR(INDEX(Tran[Sale Amount],$I13),"")</f>
        <v/>
      </c>
      <c r="I13" s="23" t="str">
        <f>IFERROR(MATCH(IF(ISBLANK($E$6),,"S")&amp;$E$6&amp;A13,Tran[Code],0),"")</f>
        <v/>
      </c>
    </row>
    <row r="14" spans="1:9" x14ac:dyDescent="0.25">
      <c r="A14" s="20">
        <v>4</v>
      </c>
      <c r="B14" s="20" t="str">
        <f>IFERROR(INDEX(Tran[Name],$I14),"")</f>
        <v/>
      </c>
      <c r="C14" s="27" t="str">
        <f>IFERROR(INDEX(Tran[Sale Qty],$I14),"")</f>
        <v/>
      </c>
      <c r="D14" s="24" t="str">
        <f>IFERROR(INDEX(Tran[Sale Price],$I14),"")</f>
        <v/>
      </c>
      <c r="E14" s="24" t="str">
        <f>IFERROR(INDEX(Tran[Sale Amount],$I14),"")</f>
        <v/>
      </c>
      <c r="I14" s="23" t="str">
        <f>IFERROR(MATCH(IF(ISBLANK($E$6),,"S")&amp;$E$6&amp;A14,Tran[Code],0),"")</f>
        <v/>
      </c>
    </row>
    <row r="15" spans="1:9" x14ac:dyDescent="0.25">
      <c r="A15" s="20">
        <v>5</v>
      </c>
      <c r="B15" s="20" t="str">
        <f>IFERROR(INDEX(Tran[Name],$I15),"")</f>
        <v/>
      </c>
      <c r="C15" s="27" t="str">
        <f>IFERROR(INDEX(Tran[Sale Qty],$I15),"")</f>
        <v/>
      </c>
      <c r="D15" s="24" t="str">
        <f>IFERROR(INDEX(Tran[Sale Price],$I15),"")</f>
        <v/>
      </c>
      <c r="E15" s="24" t="str">
        <f>IFERROR(INDEX(Tran[Sale Amount],$I15),"")</f>
        <v/>
      </c>
      <c r="I15" s="23" t="str">
        <f>IFERROR(MATCH(IF(ISBLANK($E$6),,"S")&amp;$E$6&amp;A15,Tran[Code],0),"")</f>
        <v/>
      </c>
    </row>
    <row r="16" spans="1:9" x14ac:dyDescent="0.25">
      <c r="A16" s="20">
        <v>6</v>
      </c>
      <c r="B16" s="20" t="str">
        <f>IFERROR(INDEX(Tran[Name],$I16),"")</f>
        <v/>
      </c>
      <c r="C16" s="27" t="str">
        <f>IFERROR(INDEX(Tran[Sale Qty],$I16),"")</f>
        <v/>
      </c>
      <c r="D16" s="24" t="str">
        <f>IFERROR(INDEX(Tran[Sale Price],$I16),"")</f>
        <v/>
      </c>
      <c r="E16" s="24" t="str">
        <f>IFERROR(INDEX(Tran[Sale Amount],$I16),"")</f>
        <v/>
      </c>
      <c r="I16" s="23" t="str">
        <f>IFERROR(MATCH(IF(ISBLANK($E$6),,"S")&amp;$E$6&amp;A16,Tran[Code],0),"")</f>
        <v/>
      </c>
    </row>
    <row r="17" spans="1:9" x14ac:dyDescent="0.25">
      <c r="A17" s="20">
        <v>7</v>
      </c>
      <c r="B17" s="20" t="str">
        <f>IFERROR(INDEX(Tran[Name],$I17),"")</f>
        <v/>
      </c>
      <c r="C17" s="27" t="str">
        <f>IFERROR(INDEX(Tran[Sale Qty],$I17),"")</f>
        <v/>
      </c>
      <c r="D17" s="24" t="str">
        <f>IFERROR(INDEX(Tran[Sale Price],$I17),"")</f>
        <v/>
      </c>
      <c r="E17" s="24" t="str">
        <f>IFERROR(INDEX(Tran[Sale Amount],$I17),"")</f>
        <v/>
      </c>
      <c r="I17" s="23" t="str">
        <f>IFERROR(MATCH(IF(ISBLANK($E$6),,"S")&amp;$E$6&amp;A17,Tran[Code],0),"")</f>
        <v/>
      </c>
    </row>
    <row r="18" spans="1:9" x14ac:dyDescent="0.25">
      <c r="A18" s="20">
        <v>8</v>
      </c>
      <c r="B18" s="20" t="str">
        <f>IFERROR(INDEX(Tran[Name],$I18),"")</f>
        <v/>
      </c>
      <c r="C18" s="27" t="str">
        <f>IFERROR(INDEX(Tran[Sale Qty],$I18),"")</f>
        <v/>
      </c>
      <c r="D18" s="24" t="str">
        <f>IFERROR(INDEX(Tran[Sale Price],$I18),"")</f>
        <v/>
      </c>
      <c r="E18" s="24" t="str">
        <f>IFERROR(INDEX(Tran[Sale Amount],$I18),"")</f>
        <v/>
      </c>
      <c r="I18" s="23" t="str">
        <f>IFERROR(MATCH(IF(ISBLANK($E$6),,"S")&amp;$E$6&amp;A18,Tran[Code],0),"")</f>
        <v/>
      </c>
    </row>
    <row r="19" spans="1:9" x14ac:dyDescent="0.25">
      <c r="A19" s="20">
        <v>9</v>
      </c>
      <c r="B19" s="20" t="str">
        <f>IFERROR(INDEX(Tran[Name],$I19),"")</f>
        <v/>
      </c>
      <c r="C19" s="27" t="str">
        <f>IFERROR(INDEX(Tran[Sale Qty],$I19),"")</f>
        <v/>
      </c>
      <c r="D19" s="24" t="str">
        <f>IFERROR(INDEX(Tran[Sale Price],$I19),"")</f>
        <v/>
      </c>
      <c r="E19" s="24" t="str">
        <f>IFERROR(INDEX(Tran[Sale Amount],$I19),"")</f>
        <v/>
      </c>
      <c r="I19" s="23" t="str">
        <f>IFERROR(MATCH(IF(ISBLANK($E$6),,"S")&amp;$E$6&amp;A19,Tran[Code],0),"")</f>
        <v/>
      </c>
    </row>
    <row r="20" spans="1:9" x14ac:dyDescent="0.25">
      <c r="A20" s="20">
        <v>10</v>
      </c>
      <c r="B20" s="20" t="str">
        <f>IFERROR(INDEX(Tran[Name],$I20),"")</f>
        <v/>
      </c>
      <c r="C20" s="27" t="str">
        <f>IFERROR(INDEX(Tran[Sale Qty],$I20),"")</f>
        <v/>
      </c>
      <c r="D20" s="24" t="str">
        <f>IFERROR(INDEX(Tran[Sale Price],$I20),"")</f>
        <v/>
      </c>
      <c r="E20" s="24" t="str">
        <f>IFERROR(INDEX(Tran[Sale Amount],$I20),"")</f>
        <v/>
      </c>
      <c r="I20" s="23" t="str">
        <f>IFERROR(MATCH(IF(ISBLANK($E$6),,"S")&amp;$E$6&amp;A20,Tran[Code],0),"")</f>
        <v/>
      </c>
    </row>
    <row r="21" spans="1:9" x14ac:dyDescent="0.25">
      <c r="A21" s="20">
        <v>11</v>
      </c>
      <c r="B21" s="20" t="str">
        <f>IFERROR(INDEX(Tran[Name],$I21),"")</f>
        <v/>
      </c>
      <c r="C21" s="27" t="str">
        <f>IFERROR(INDEX(Tran[Sale Qty],$I21),"")</f>
        <v/>
      </c>
      <c r="D21" s="24" t="str">
        <f>IFERROR(INDEX(Tran[Sale Price],$I21),"")</f>
        <v/>
      </c>
      <c r="E21" s="24" t="str">
        <f>IFERROR(INDEX(Tran[Sale Amount],$I21),"")</f>
        <v/>
      </c>
      <c r="I21" s="23" t="str">
        <f>IFERROR(MATCH(IF(ISBLANK($E$6),,"S")&amp;$E$6&amp;A21,Tran[Code],0),"")</f>
        <v/>
      </c>
    </row>
    <row r="22" spans="1:9" x14ac:dyDescent="0.25">
      <c r="A22" s="20">
        <v>12</v>
      </c>
      <c r="B22" s="20" t="str">
        <f>IFERROR(INDEX(Tran[Name],$I22),"")</f>
        <v/>
      </c>
      <c r="C22" s="27" t="str">
        <f>IFERROR(INDEX(Tran[Sale Qty],$I22),"")</f>
        <v/>
      </c>
      <c r="D22" s="24" t="str">
        <f>IFERROR(INDEX(Tran[Sale Price],$I22),"")</f>
        <v/>
      </c>
      <c r="E22" s="24" t="str">
        <f>IFERROR(INDEX(Tran[Sale Amount],$I22),"")</f>
        <v/>
      </c>
      <c r="I22" s="23" t="str">
        <f>IFERROR(MATCH(IF(ISBLANK($E$6),,"S")&amp;$E$6&amp;A22,Tran[Code],0),"")</f>
        <v/>
      </c>
    </row>
    <row r="23" spans="1:9" x14ac:dyDescent="0.25">
      <c r="A23" s="20">
        <v>13</v>
      </c>
      <c r="B23" s="20" t="str">
        <f>IFERROR(INDEX(Tran[Name],$I23),"")</f>
        <v/>
      </c>
      <c r="C23" s="27" t="str">
        <f>IFERROR(INDEX(Tran[Sale Qty],$I23),"")</f>
        <v/>
      </c>
      <c r="D23" s="24" t="str">
        <f>IFERROR(INDEX(Tran[Sale Price],$I23),"")</f>
        <v/>
      </c>
      <c r="E23" s="24" t="str">
        <f>IFERROR(INDEX(Tran[Sale Amount],$I23),"")</f>
        <v/>
      </c>
      <c r="I23" s="23" t="str">
        <f>IFERROR(MATCH(IF(ISBLANK($E$6),,"S")&amp;$E$6&amp;A23,Tran[Code],0),"")</f>
        <v/>
      </c>
    </row>
    <row r="24" spans="1:9" x14ac:dyDescent="0.25">
      <c r="A24" s="20">
        <v>14</v>
      </c>
      <c r="B24" s="20" t="str">
        <f>IFERROR(INDEX(Tran[Name],$I24),"")</f>
        <v/>
      </c>
      <c r="C24" s="27" t="str">
        <f>IFERROR(INDEX(Tran[Sale Qty],$I24),"")</f>
        <v/>
      </c>
      <c r="D24" s="24" t="str">
        <f>IFERROR(INDEX(Tran[Sale Price],$I24),"")</f>
        <v/>
      </c>
      <c r="E24" s="24" t="str">
        <f>IFERROR(INDEX(Tran[Sale Amount],$I24),"")</f>
        <v/>
      </c>
      <c r="I24" s="23" t="str">
        <f>IFERROR(MATCH(IF(ISBLANK($E$6),,"S")&amp;$E$6&amp;A24,Tran[Code],0),"")</f>
        <v/>
      </c>
    </row>
    <row r="25" spans="1:9" x14ac:dyDescent="0.25">
      <c r="A25" s="21">
        <v>15</v>
      </c>
      <c r="B25" s="21" t="str">
        <f>IFERROR(INDEX(Tran[Name],$I25),"")</f>
        <v/>
      </c>
      <c r="C25" s="28" t="str">
        <f>IFERROR(INDEX(Tran[Sale Qty],$I25),"")</f>
        <v/>
      </c>
      <c r="D25" s="24" t="str">
        <f>IFERROR(INDEX(Tran[Sale Price],$I25),"")</f>
        <v/>
      </c>
      <c r="E25" s="24" t="str">
        <f>IFERROR(INDEX(Tran[Sale Amount],$I25),"")</f>
        <v/>
      </c>
      <c r="I25" s="23" t="str">
        <f>IFERROR(MATCH(IF(ISBLANK($E$6),,"S")&amp;$E$6&amp;A25,Tran[Code],0),"")</f>
        <v/>
      </c>
    </row>
    <row r="26" spans="1:9" ht="14.4" thickBot="1" x14ac:dyDescent="0.3">
      <c r="A26" s="17"/>
      <c r="B26" s="17"/>
      <c r="C26" s="29">
        <f>SUM(C11:C25)</f>
        <v>5</v>
      </c>
      <c r="D26" s="25"/>
      <c r="E26" s="29">
        <f>SUM(E11:E25)</f>
        <v>30000</v>
      </c>
    </row>
    <row r="27" spans="1:9" ht="14.4" thickTop="1" x14ac:dyDescent="0.25"/>
  </sheetData>
  <mergeCells count="4">
    <mergeCell ref="A5:E5"/>
    <mergeCell ref="A6:B6"/>
    <mergeCell ref="A7:B7"/>
    <mergeCell ref="A8:B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Tran</vt:lpstr>
      <vt:lpstr>CusLst</vt:lpstr>
      <vt:lpstr>Summary</vt:lpstr>
      <vt:lpstr>Report</vt:lpstr>
      <vt:lpstr>Invoice</vt:lpstr>
      <vt:lpstr>Tran!CustLst_Name</vt:lpstr>
      <vt:lpstr>Report!R_EndDate</vt:lpstr>
      <vt:lpstr>Report!R_IniDate</vt:lpstr>
    </vt:vector>
  </TitlesOfParts>
  <Company>Swe Swe Thynn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2017-11-23T07:49:06Z</cp:lastPrinted>
  <dcterms:created xsi:type="dcterms:W3CDTF">2017-11-23T06:09:45Z</dcterms:created>
  <dcterms:modified xsi:type="dcterms:W3CDTF">2017-12-07T03:53:38Z</dcterms:modified>
</cp:coreProperties>
</file>