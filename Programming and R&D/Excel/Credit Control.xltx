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Lenovo\Documents\Custom Office Templates\"/>
    </mc:Choice>
  </mc:AlternateContent>
  <bookViews>
    <workbookView xWindow="0" yWindow="0" windowWidth="23040" windowHeight="9348"/>
  </bookViews>
  <sheets>
    <sheet name="Sales" sheetId="1" r:id="rId1"/>
    <sheet name="Report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 a="1"/>
  <c r="A2" i="2" s="1"/>
  <c r="B2" i="2" s="1"/>
  <c r="C2" i="2" l="1"/>
  <c r="D2" i="2"/>
  <c r="A3" i="2" a="1"/>
  <c r="A3" i="2" s="1"/>
  <c r="D3" i="2" l="1"/>
  <c r="B3" i="2"/>
  <c r="K2" i="2" a="1"/>
  <c r="K2" i="2" s="1"/>
  <c r="M2" i="2" s="1"/>
  <c r="A4" i="2" a="1"/>
  <c r="A4" i="2" s="1"/>
  <c r="B4" i="2" s="1"/>
  <c r="C3" i="2"/>
  <c r="L2" i="2" l="1"/>
  <c r="K3" i="2" a="1"/>
  <c r="K3" i="2" s="1"/>
  <c r="C4" i="2"/>
  <c r="D4" i="2"/>
  <c r="A5" i="2" a="1"/>
  <c r="A5" i="2" s="1"/>
  <c r="B5" i="2" s="1"/>
  <c r="L3" i="2" l="1"/>
  <c r="M3" i="2"/>
  <c r="K4" i="2" a="1"/>
  <c r="K4" i="2" s="1"/>
  <c r="D5" i="2"/>
  <c r="A6" i="2" a="1"/>
  <c r="A6" i="2" s="1"/>
  <c r="B6" i="2" s="1"/>
  <c r="C5" i="2"/>
  <c r="L4" i="2" l="1"/>
  <c r="M4" i="2"/>
  <c r="C6" i="2"/>
  <c r="D6" i="2"/>
  <c r="A7" i="2" a="1"/>
  <c r="A7" i="2" s="1"/>
  <c r="B7" i="2" s="1"/>
  <c r="C7" i="2" l="1"/>
  <c r="D7" i="2"/>
  <c r="A8" i="2" a="1"/>
  <c r="A8" i="2" s="1"/>
  <c r="B8" i="2" s="1"/>
  <c r="D8" i="2" l="1"/>
  <c r="A9" i="2" a="1"/>
  <c r="A9" i="2" s="1"/>
  <c r="B9" i="2" s="1"/>
  <c r="C8" i="2"/>
  <c r="C9" i="2" l="1"/>
  <c r="D9" i="2"/>
  <c r="A10" i="2" a="1"/>
  <c r="A10" i="2" s="1"/>
  <c r="B10" i="2" s="1"/>
  <c r="D10" i="2" l="1"/>
  <c r="A11" i="2" a="1"/>
  <c r="A11" i="2" s="1"/>
  <c r="B11" i="2" s="1"/>
  <c r="C10" i="2"/>
  <c r="D11" i="2" l="1"/>
  <c r="A12" i="2" a="1"/>
  <c r="A12" i="2" s="1"/>
  <c r="B12" i="2" s="1"/>
  <c r="C11" i="2"/>
  <c r="D12" i="2" l="1"/>
  <c r="A13" i="2" a="1"/>
  <c r="A13" i="2" s="1"/>
  <c r="B13" i="2" s="1"/>
  <c r="K5" i="2" s="1" a="1"/>
  <c r="K5" i="2" s="1"/>
  <c r="C12" i="2"/>
  <c r="L5" i="2" l="1"/>
  <c r="M5" i="2"/>
  <c r="C13" i="2"/>
  <c r="D13" i="2"/>
  <c r="K6" i="2" a="1"/>
  <c r="K6" i="2" s="1"/>
  <c r="L6" i="2" l="1"/>
  <c r="M6" i="2"/>
  <c r="K7" i="2" a="1"/>
  <c r="K7" i="2" s="1"/>
  <c r="M7" i="2" s="1"/>
  <c r="K8" i="2" l="1" a="1"/>
  <c r="K8" i="2" s="1"/>
  <c r="M8" i="2" s="1"/>
  <c r="L7" i="2"/>
  <c r="K9" i="2" l="1" a="1"/>
  <c r="K9" i="2" s="1"/>
  <c r="M9" i="2" s="1"/>
  <c r="L8" i="2"/>
  <c r="K10" i="2" l="1" a="1"/>
  <c r="K10" i="2" s="1"/>
  <c r="M10" i="2" s="1"/>
  <c r="L9" i="2"/>
  <c r="K11" i="2" l="1" a="1"/>
  <c r="K11" i="2" s="1"/>
  <c r="M11" i="2" s="1"/>
  <c r="L10" i="2"/>
  <c r="K12" i="2" l="1" a="1"/>
  <c r="K12" i="2" s="1"/>
  <c r="M12" i="2" s="1"/>
  <c r="L11" i="2"/>
  <c r="K13" i="2" l="1" a="1"/>
  <c r="K13" i="2" s="1"/>
  <c r="M13" i="2" s="1"/>
  <c r="L12" i="2"/>
  <c r="K14" i="2" l="1" a="1"/>
  <c r="K14" i="2" s="1"/>
  <c r="M14" i="2" s="1"/>
  <c r="L13" i="2"/>
  <c r="K15" i="2" l="1" a="1"/>
  <c r="K15" i="2" s="1"/>
  <c r="L14" i="2"/>
  <c r="L15" i="2" l="1"/>
  <c r="M15" i="2"/>
</calcChain>
</file>

<file path=xl/sharedStrings.xml><?xml version="1.0" encoding="utf-8"?>
<sst xmlns="http://schemas.openxmlformats.org/spreadsheetml/2006/main" count="21" uniqueCount="12">
  <si>
    <t>VrNo</t>
  </si>
  <si>
    <t>CusName</t>
  </si>
  <si>
    <t>Amount</t>
  </si>
  <si>
    <t>Cash Received</t>
  </si>
  <si>
    <t>S - 01</t>
  </si>
  <si>
    <t>S - 02</t>
  </si>
  <si>
    <t>S - 03</t>
  </si>
  <si>
    <t>A</t>
  </si>
  <si>
    <t>C</t>
  </si>
  <si>
    <t>Vr</t>
  </si>
  <si>
    <t>Total</t>
  </si>
  <si>
    <t>CashReceived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</si>
</sst>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9"/>
      <color theme="1"/>
      <name val="Zawgyi-On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Sales" displayName="Sales" ref="A1:D7" totalsRowShown="0">
  <autoFilter ref="A1:D7"/>
  <tableColumns count="4">
    <tableColumn id="1" name="VrNo"/>
    <tableColumn id="2" name="CusName"/>
    <tableColumn id="3" name="Amount"/>
    <tableColumn id="4" name="Cash Receive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Report_ByVr" displayName="Report_ByVr" ref="A1:D13" totalsRowShown="0">
  <autoFilter ref="A1:D13"/>
  <tableColumns count="4">
    <tableColumn id="1" name="Vr" dataDxfId="6">
      <calculatedColumnFormula array="1">_xlfn.IFNA(INDEX(Sales[VrNo],MATCH(0,COUNTIF(Report_ByVr[[#Headers],[Vr]]:OFFSET(Report_ByVr[[#This Row],[Vr]],-1,0),Sales[VrNo]),0)),"")</calculatedColumnFormula>
    </tableColumn>
    <tableColumn id="2" name="CusName" dataDxfId="0">
      <calculatedColumnFormula>_xlfn.IFNA(INDEX(Sales[CusName],MATCH(Report_ByVr[[#This Row],[Vr]],Sales[VrNo],0)),"")</calculatedColumnFormula>
    </tableColumn>
    <tableColumn id="3" name="Total" dataDxfId="5">
      <calculatedColumnFormula>SUMIF(Sales[VrNo],Report_ByVr[[#This Row],[Vr]],Sales[Amount])</calculatedColumnFormula>
    </tableColumn>
    <tableColumn id="4" name="CashReceived" dataDxfId="4">
      <calculatedColumnFormula>SUMIF(Sales[VrNo],Report_ByVr[[#This Row],[Vr]],Sales[Cash Received])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Report_ByCusName" displayName="Report_ByCusName" ref="K1:M15" totalsRowShown="0">
  <autoFilter ref="K1:M15"/>
  <tableColumns count="3">
    <tableColumn id="1" name="CusName" dataDxfId="3">
      <calculatedColumnFormula array="1">_xlfn.IFNA(INDEX(Report_ByVr[CusName],MATCH(0,COUNTIF(Report_ByCusName[[#Headers],[CusName]]:OFFSET(Report_ByCusName[[#This Row],[CusName]],-1,0),Report_ByVr[CusName]),0)),"")</calculatedColumnFormula>
    </tableColumn>
    <tableColumn id="2" name="Total" dataDxfId="2">
      <calculatedColumnFormula>SUMIF(Sales[CusName],Report_ByCusName[[#This Row],[CusName]],Sales[Amount])</calculatedColumnFormula>
    </tableColumn>
    <tableColumn id="3" name="CashReceived" dataDxfId="1">
      <calculatedColumnFormula>SUMIF(Sales[CusName],Report_ByCusName[[#This Row],[CusName]],Sales[Cash Received])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D6" sqref="D6"/>
    </sheetView>
  </sheetViews>
  <sheetFormatPr defaultRowHeight="17.399999999999999" x14ac:dyDescent="0.55000000000000004"/>
  <cols>
    <col min="1" max="3" width="11.125" customWidth="1"/>
  </cols>
  <sheetData>
    <row r="1" spans="1:4" x14ac:dyDescent="0.55000000000000004">
      <c r="A1" t="s">
        <v>0</v>
      </c>
      <c r="B1" t="s">
        <v>1</v>
      </c>
      <c r="C1" t="s">
        <v>2</v>
      </c>
      <c r="D1" t="s">
        <v>3</v>
      </c>
    </row>
    <row r="2" spans="1:4" x14ac:dyDescent="0.55000000000000004">
      <c r="A2" t="s">
        <v>4</v>
      </c>
      <c r="B2" t="s">
        <v>7</v>
      </c>
      <c r="C2">
        <v>100000</v>
      </c>
      <c r="D2">
        <v>30000</v>
      </c>
    </row>
    <row r="3" spans="1:4" x14ac:dyDescent="0.55000000000000004">
      <c r="A3" t="s">
        <v>4</v>
      </c>
      <c r="B3" t="s">
        <v>7</v>
      </c>
      <c r="C3">
        <v>1000</v>
      </c>
      <c r="D3">
        <v>1000</v>
      </c>
    </row>
    <row r="4" spans="1:4" x14ac:dyDescent="0.55000000000000004">
      <c r="A4" t="s">
        <v>5</v>
      </c>
      <c r="B4" t="s">
        <v>7</v>
      </c>
      <c r="C4">
        <v>25000</v>
      </c>
      <c r="D4">
        <v>5000</v>
      </c>
    </row>
    <row r="5" spans="1:4" x14ac:dyDescent="0.55000000000000004">
      <c r="A5" t="s">
        <v>6</v>
      </c>
      <c r="B5" t="s">
        <v>8</v>
      </c>
      <c r="C5">
        <v>10000</v>
      </c>
      <c r="D5">
        <v>5000</v>
      </c>
    </row>
    <row r="6" spans="1:4" x14ac:dyDescent="0.55000000000000004">
      <c r="A6" t="s">
        <v>6</v>
      </c>
      <c r="B6" t="s">
        <v>8</v>
      </c>
      <c r="C6">
        <v>2500</v>
      </c>
      <c r="D6">
        <v>2500</v>
      </c>
    </row>
    <row r="8" spans="1:4" x14ac:dyDescent="0.55000000000000004">
      <c r="C8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"/>
  <sheetViews>
    <sheetView workbookViewId="0">
      <selection activeCell="D3" sqref="D3"/>
    </sheetView>
  </sheetViews>
  <sheetFormatPr defaultRowHeight="17.399999999999999" x14ac:dyDescent="0.55000000000000004"/>
  <cols>
    <col min="1" max="4" width="11.125" customWidth="1"/>
    <col min="11" max="12" width="11.125" customWidth="1"/>
  </cols>
  <sheetData>
    <row r="1" spans="1:13" x14ac:dyDescent="0.55000000000000004">
      <c r="A1" t="s">
        <v>9</v>
      </c>
      <c r="B1" t="s">
        <v>1</v>
      </c>
      <c r="C1" t="s">
        <v>10</v>
      </c>
      <c r="D1" t="s">
        <v>11</v>
      </c>
      <c r="K1" t="s">
        <v>1</v>
      </c>
      <c r="L1" t="s">
        <v>10</v>
      </c>
      <c r="M1" t="s">
        <v>11</v>
      </c>
    </row>
    <row r="2" spans="1:13" x14ac:dyDescent="0.55000000000000004">
      <c r="A2" t="str">
        <f t="array" aca="1" ref="A2" ca="1">_xlfn.IFNA(INDEX(Sales[VrNo],MATCH(0,COUNTIF(Report_ByVr[[#Headers],[Vr]]:OFFSET(Report_ByVr[[#This Row],[Vr]],-1,0),Sales[VrNo]),0)),"")</f>
        <v>S - 01</v>
      </c>
      <c r="B2" t="str">
        <f ca="1">_xlfn.IFNA(INDEX(Sales[CusName],MATCH(Report_ByVr[[#This Row],[Vr]],Sales[VrNo],0)),"")</f>
        <v>A</v>
      </c>
      <c r="C2">
        <f ca="1">SUMIF(Sales[VrNo],Report_ByVr[[#This Row],[Vr]],Sales[Amount])</f>
        <v>101000</v>
      </c>
      <c r="D2">
        <f ca="1">SUMIF(Sales[VrNo],Report_ByVr[[#This Row],[Vr]],Sales[Cash Received])</f>
        <v>31000</v>
      </c>
      <c r="K2" t="str">
        <f t="array" aca="1" ref="K2" ca="1">_xlfn.IFNA(INDEX(Report_ByVr[CusName],MATCH(0,COUNTIF(Report_ByCusName[[#Headers],[CusName]]:OFFSET(Report_ByCusName[[#This Row],[CusName]],-1,0),Report_ByVr[CusName]),0)),"")</f>
        <v>A</v>
      </c>
      <c r="L2">
        <f ca="1">SUMIF(Sales[CusName],Report_ByCusName[[#This Row],[CusName]],Sales[Amount])</f>
        <v>126000</v>
      </c>
      <c r="M2">
        <f ca="1">SUMIF(Sales[CusName],Report_ByCusName[[#This Row],[CusName]],Sales[Cash Received])</f>
        <v>36000</v>
      </c>
    </row>
    <row r="3" spans="1:13" x14ac:dyDescent="0.55000000000000004">
      <c r="A3" t="str">
        <f t="array" aca="1" ref="A3" ca="1">_xlfn.IFNA(INDEX(Sales[VrNo],MATCH(0,COUNTIF(Report_ByVr[[#Headers],[Vr]]:OFFSET(Report_ByVr[[#This Row],[Vr]],-1,0),Sales[VrNo]),0)),"")</f>
        <v>S - 02</v>
      </c>
      <c r="B3" t="str">
        <f ca="1">_xlfn.IFNA(INDEX(Sales[CusName],MATCH(Report_ByVr[[#This Row],[Vr]],Sales[VrNo],0)),"")</f>
        <v>A</v>
      </c>
      <c r="C3">
        <f ca="1">SUMIF(Sales[VrNo],Report_ByVr[[#This Row],[Vr]],Sales[Amount])</f>
        <v>25000</v>
      </c>
      <c r="D3">
        <f ca="1">SUMIF(Sales[VrNo],Report_ByVr[[#This Row],[Vr]],Sales[Cash Received])</f>
        <v>5000</v>
      </c>
      <c r="K3" t="str">
        <f t="array" aca="1" ref="K3" ca="1">_xlfn.IFNA(INDEX(Report_ByVr[CusName],MATCH(0,COUNTIF(Report_ByCusName[[#Headers],[CusName]]:OFFSET(Report_ByCusName[[#This Row],[CusName]],-1,0),Report_ByVr[CusName]),0)),"")</f>
        <v>C</v>
      </c>
      <c r="L3">
        <f ca="1">SUMIF(Sales[CusName],Report_ByCusName[[#This Row],[CusName]],Sales[Amount])</f>
        <v>12500</v>
      </c>
      <c r="M3">
        <f ca="1">SUMIF(Sales[CusName],Report_ByCusName[[#This Row],[CusName]],Sales[Cash Received])</f>
        <v>7500</v>
      </c>
    </row>
    <row r="4" spans="1:13" x14ac:dyDescent="0.55000000000000004">
      <c r="A4" t="str">
        <f t="array" aca="1" ref="A4" ca="1">_xlfn.IFNA(INDEX(Sales[VrNo],MATCH(0,COUNTIF(Report_ByVr[[#Headers],[Vr]]:OFFSET(Report_ByVr[[#This Row],[Vr]],-1,0),Sales[VrNo]),0)),"")</f>
        <v>S - 03</v>
      </c>
      <c r="B4" t="str">
        <f ca="1">_xlfn.IFNA(INDEX(Sales[CusName],MATCH(Report_ByVr[[#This Row],[Vr]],Sales[VrNo],0)),"")</f>
        <v>C</v>
      </c>
      <c r="C4">
        <f ca="1">SUMIF(Sales[VrNo],Report_ByVr[[#This Row],[Vr]],Sales[Amount])</f>
        <v>12500</v>
      </c>
      <c r="D4">
        <f ca="1">SUMIF(Sales[VrNo],Report_ByVr[[#This Row],[Vr]],Sales[Cash Received])</f>
        <v>7500</v>
      </c>
      <c r="K4" t="str">
        <f t="array" aca="1" ref="K4" ca="1">_xlfn.IFNA(INDEX(Report_ByVr[CusName],MATCH(0,COUNTIF(Report_ByCusName[[#Headers],[CusName]]:OFFSET(Report_ByCusName[[#This Row],[CusName]],-1,0),Report_ByVr[CusName]),0)),"")</f>
        <v/>
      </c>
      <c r="L4">
        <f ca="1">SUMIF(Sales[CusName],Report_ByCusName[[#This Row],[CusName]],Sales[Amount])</f>
        <v>0</v>
      </c>
      <c r="M4">
        <f ca="1">SUMIF(Sales[CusName],Report_ByCusName[[#This Row],[CusName]],Sales[Cash Received])</f>
        <v>0</v>
      </c>
    </row>
    <row r="5" spans="1:13" x14ac:dyDescent="0.55000000000000004">
      <c r="A5">
        <f t="array" aca="1" ref="A5" ca="1">_xlfn.IFNA(INDEX(Sales[VrNo],MATCH(0,COUNTIF(Report_ByVr[[#Headers],[Vr]]:OFFSET(Report_ByVr[[#This Row],[Vr]],-1,0),Sales[VrNo]),0)),"")</f>
        <v>0</v>
      </c>
      <c r="B5" t="str">
        <f ca="1">_xlfn.IFNA(INDEX(Sales[CusName],MATCH(Report_ByVr[[#This Row],[Vr]],Sales[VrNo],0)),"")</f>
        <v/>
      </c>
      <c r="C5">
        <f ca="1">SUMIF(Sales[VrNo],Report_ByVr[[#This Row],[Vr]],Sales[Amount])</f>
        <v>0</v>
      </c>
      <c r="D5">
        <f ca="1">SUMIF(Sales[VrNo],Report_ByVr[[#This Row],[Vr]],Sales[Cash Received])</f>
        <v>0</v>
      </c>
      <c r="K5" t="str">
        <f t="array" aca="1" ref="K5" ca="1">_xlfn.IFNA(INDEX(Report_ByVr[CusName],MATCH(0,COUNTIF(Report_ByCusName[[#Headers],[CusName]]:OFFSET(Report_ByCusName[[#This Row],[CusName]],-1,0),Report_ByVr[CusName]),0)),"")</f>
        <v/>
      </c>
      <c r="L5">
        <f ca="1">SUMIF(Sales[CusName],Report_ByCusName[[#This Row],[CusName]],Sales[Amount])</f>
        <v>0</v>
      </c>
      <c r="M5">
        <f ca="1">SUMIF(Sales[CusName],Report_ByCusName[[#This Row],[CusName]],Sales[Cash Received])</f>
        <v>0</v>
      </c>
    </row>
    <row r="6" spans="1:13" x14ac:dyDescent="0.55000000000000004">
      <c r="A6" t="str">
        <f t="array" aca="1" ref="A6" ca="1">_xlfn.IFNA(INDEX(Sales[VrNo],MATCH(0,COUNTIF(Report_ByVr[[#Headers],[Vr]]:OFFSET(Report_ByVr[[#This Row],[Vr]],-1,0),Sales[VrNo]),0)),"")</f>
        <v/>
      </c>
      <c r="B6" t="str">
        <f ca="1">_xlfn.IFNA(INDEX(Sales[CusName],MATCH(Report_ByVr[[#This Row],[Vr]],Sales[VrNo],0)),"")</f>
        <v/>
      </c>
      <c r="C6">
        <f ca="1">SUMIF(Sales[VrNo],Report_ByVr[[#This Row],[Vr]],Sales[Amount])</f>
        <v>0</v>
      </c>
      <c r="D6">
        <f ca="1">SUMIF(Sales[VrNo],Report_ByVr[[#This Row],[Vr]],Sales[Cash Received])</f>
        <v>0</v>
      </c>
      <c r="K6" t="str">
        <f t="array" aca="1" ref="K6" ca="1">_xlfn.IFNA(INDEX(Report_ByVr[CusName],MATCH(0,COUNTIF(Report_ByCusName[[#Headers],[CusName]]:OFFSET(Report_ByCusName[[#This Row],[CusName]],-1,0),Report_ByVr[CusName]),0)),"")</f>
        <v/>
      </c>
      <c r="L6">
        <f ca="1">SUMIF(Sales[CusName],Report_ByCusName[[#This Row],[CusName]],Sales[Amount])</f>
        <v>0</v>
      </c>
      <c r="M6">
        <f ca="1">SUMIF(Sales[CusName],Report_ByCusName[[#This Row],[CusName]],Sales[Cash Received])</f>
        <v>0</v>
      </c>
    </row>
    <row r="7" spans="1:13" x14ac:dyDescent="0.55000000000000004">
      <c r="A7" t="str">
        <f t="array" aca="1" ref="A7" ca="1">_xlfn.IFNA(INDEX(Sales[VrNo],MATCH(0,COUNTIF(Report_ByVr[[#Headers],[Vr]]:OFFSET(Report_ByVr[[#This Row],[Vr]],-1,0),Sales[VrNo]),0)),"")</f>
        <v/>
      </c>
      <c r="B7" t="str">
        <f ca="1">_xlfn.IFNA(INDEX(Sales[CusName],MATCH(Report_ByVr[[#This Row],[Vr]],Sales[VrNo],0)),"")</f>
        <v/>
      </c>
      <c r="C7">
        <f ca="1">SUMIF(Sales[VrNo],Report_ByVr[[#This Row],[Vr]],Sales[Amount])</f>
        <v>0</v>
      </c>
      <c r="D7">
        <f ca="1">SUMIF(Sales[VrNo],Report_ByVr[[#This Row],[Vr]],Sales[Cash Received])</f>
        <v>0</v>
      </c>
      <c r="K7" t="str">
        <f t="array" aca="1" ref="K7" ca="1">_xlfn.IFNA(INDEX(Report_ByVr[CusName],MATCH(0,COUNTIF(Report_ByCusName[[#Headers],[CusName]]:OFFSET(Report_ByCusName[[#This Row],[CusName]],-1,0),Report_ByVr[CusName]),0)),"")</f>
        <v/>
      </c>
      <c r="L7">
        <f ca="1">SUMIF(Sales[CusName],Report_ByCusName[[#This Row],[CusName]],Sales[Amount])</f>
        <v>0</v>
      </c>
      <c r="M7">
        <f ca="1">SUMIF(Sales[CusName],Report_ByCusName[[#This Row],[CusName]],Sales[Cash Received])</f>
        <v>0</v>
      </c>
    </row>
    <row r="8" spans="1:13" x14ac:dyDescent="0.55000000000000004">
      <c r="A8" t="str">
        <f t="array" aca="1" ref="A8" ca="1">_xlfn.IFNA(INDEX(Sales[VrNo],MATCH(0,COUNTIF(Report_ByVr[[#Headers],[Vr]]:OFFSET(Report_ByVr[[#This Row],[Vr]],-1,0),Sales[VrNo]),0)),"")</f>
        <v/>
      </c>
      <c r="B8" t="str">
        <f ca="1">_xlfn.IFNA(INDEX(Sales[CusName],MATCH(Report_ByVr[[#This Row],[Vr]],Sales[VrNo],0)),"")</f>
        <v/>
      </c>
      <c r="C8">
        <f ca="1">SUMIF(Sales[VrNo],Report_ByVr[[#This Row],[Vr]],Sales[Amount])</f>
        <v>0</v>
      </c>
      <c r="D8">
        <f ca="1">SUMIF(Sales[VrNo],Report_ByVr[[#This Row],[Vr]],Sales[Cash Received])</f>
        <v>0</v>
      </c>
      <c r="K8" t="str">
        <f t="array" aca="1" ref="K8" ca="1">_xlfn.IFNA(INDEX(Report_ByVr[CusName],MATCH(0,COUNTIF(Report_ByCusName[[#Headers],[CusName]]:OFFSET(Report_ByCusName[[#This Row],[CusName]],-1,0),Report_ByVr[CusName]),0)),"")</f>
        <v/>
      </c>
      <c r="L8">
        <f ca="1">SUMIF(Sales[CusName],Report_ByCusName[[#This Row],[CusName]],Sales[Amount])</f>
        <v>0</v>
      </c>
      <c r="M8">
        <f ca="1">SUMIF(Sales[CusName],Report_ByCusName[[#This Row],[CusName]],Sales[Cash Received])</f>
        <v>0</v>
      </c>
    </row>
    <row r="9" spans="1:13" x14ac:dyDescent="0.55000000000000004">
      <c r="A9" t="str">
        <f t="array" aca="1" ref="A9" ca="1">_xlfn.IFNA(INDEX(Sales[VrNo],MATCH(0,COUNTIF(Report_ByVr[[#Headers],[Vr]]:OFFSET(Report_ByVr[[#This Row],[Vr]],-1,0),Sales[VrNo]),0)),"")</f>
        <v/>
      </c>
      <c r="B9" t="str">
        <f ca="1">_xlfn.IFNA(INDEX(Sales[CusName],MATCH(Report_ByVr[[#This Row],[Vr]],Sales[VrNo],0)),"")</f>
        <v/>
      </c>
      <c r="C9">
        <f ca="1">SUMIF(Sales[VrNo],Report_ByVr[[#This Row],[Vr]],Sales[Amount])</f>
        <v>0</v>
      </c>
      <c r="D9">
        <f ca="1">SUMIF(Sales[VrNo],Report_ByVr[[#This Row],[Vr]],Sales[Cash Received])</f>
        <v>0</v>
      </c>
      <c r="K9" t="str">
        <f t="array" aca="1" ref="K9" ca="1">_xlfn.IFNA(INDEX(Report_ByVr[CusName],MATCH(0,COUNTIF(Report_ByCusName[[#Headers],[CusName]]:OFFSET(Report_ByCusName[[#This Row],[CusName]],-1,0),Report_ByVr[CusName]),0)),"")</f>
        <v/>
      </c>
      <c r="L9">
        <f ca="1">SUMIF(Sales[CusName],Report_ByCusName[[#This Row],[CusName]],Sales[Amount])</f>
        <v>0</v>
      </c>
      <c r="M9">
        <f ca="1">SUMIF(Sales[CusName],Report_ByCusName[[#This Row],[CusName]],Sales[Cash Received])</f>
        <v>0</v>
      </c>
    </row>
    <row r="10" spans="1:13" x14ac:dyDescent="0.55000000000000004">
      <c r="A10" t="str">
        <f t="array" aca="1" ref="A10" ca="1">_xlfn.IFNA(INDEX(Sales[VrNo],MATCH(0,COUNTIF(Report_ByVr[[#Headers],[Vr]]:OFFSET(Report_ByVr[[#This Row],[Vr]],-1,0),Sales[VrNo]),0)),"")</f>
        <v/>
      </c>
      <c r="B10" t="str">
        <f ca="1">_xlfn.IFNA(INDEX(Sales[CusName],MATCH(Report_ByVr[[#This Row],[Vr]],Sales[VrNo],0)),"")</f>
        <v/>
      </c>
      <c r="C10">
        <f ca="1">SUMIF(Sales[VrNo],Report_ByVr[[#This Row],[Vr]],Sales[Amount])</f>
        <v>0</v>
      </c>
      <c r="D10">
        <f ca="1">SUMIF(Sales[VrNo],Report_ByVr[[#This Row],[Vr]],Sales[Cash Received])</f>
        <v>0</v>
      </c>
      <c r="K10" t="str">
        <f t="array" aca="1" ref="K10" ca="1">_xlfn.IFNA(INDEX(Report_ByVr[CusName],MATCH(0,COUNTIF(Report_ByCusName[[#Headers],[CusName]]:OFFSET(Report_ByCusName[[#This Row],[CusName]],-1,0),Report_ByVr[CusName]),0)),"")</f>
        <v/>
      </c>
      <c r="L10">
        <f ca="1">SUMIF(Sales[CusName],Report_ByCusName[[#This Row],[CusName]],Sales[Amount])</f>
        <v>0</v>
      </c>
      <c r="M10">
        <f ca="1">SUMIF(Sales[CusName],Report_ByCusName[[#This Row],[CusName]],Sales[Cash Received])</f>
        <v>0</v>
      </c>
    </row>
    <row r="11" spans="1:13" x14ac:dyDescent="0.55000000000000004">
      <c r="A11" t="str">
        <f t="array" aca="1" ref="A11" ca="1">_xlfn.IFNA(INDEX(Sales[VrNo],MATCH(0,COUNTIF(Report_ByVr[[#Headers],[Vr]]:OFFSET(Report_ByVr[[#This Row],[Vr]],-1,0),Sales[VrNo]),0)),"")</f>
        <v/>
      </c>
      <c r="B11" t="str">
        <f ca="1">_xlfn.IFNA(INDEX(Sales[CusName],MATCH(Report_ByVr[[#This Row],[Vr]],Sales[VrNo],0)),"")</f>
        <v/>
      </c>
      <c r="C11">
        <f ca="1">SUMIF(Sales[VrNo],Report_ByVr[[#This Row],[Vr]],Sales[Amount])</f>
        <v>0</v>
      </c>
      <c r="D11">
        <f ca="1">SUMIF(Sales[VrNo],Report_ByVr[[#This Row],[Vr]],Sales[Cash Received])</f>
        <v>0</v>
      </c>
      <c r="K11" t="str">
        <f t="array" aca="1" ref="K11" ca="1">_xlfn.IFNA(INDEX(Report_ByVr[CusName],MATCH(0,COUNTIF(Report_ByCusName[[#Headers],[CusName]]:OFFSET(Report_ByCusName[[#This Row],[CusName]],-1,0),Report_ByVr[CusName]),0)),"")</f>
        <v/>
      </c>
      <c r="L11">
        <f ca="1">SUMIF(Sales[CusName],Report_ByCusName[[#This Row],[CusName]],Sales[Amount])</f>
        <v>0</v>
      </c>
      <c r="M11">
        <f ca="1">SUMIF(Sales[CusName],Report_ByCusName[[#This Row],[CusName]],Sales[Cash Received])</f>
        <v>0</v>
      </c>
    </row>
    <row r="12" spans="1:13" x14ac:dyDescent="0.55000000000000004">
      <c r="A12" t="str">
        <f t="array" aca="1" ref="A12" ca="1">_xlfn.IFNA(INDEX(Sales[VrNo],MATCH(0,COUNTIF(Report_ByVr[[#Headers],[Vr]]:OFFSET(Report_ByVr[[#This Row],[Vr]],-1,0),Sales[VrNo]),0)),"")</f>
        <v/>
      </c>
      <c r="B12" t="str">
        <f ca="1">_xlfn.IFNA(INDEX(Sales[CusName],MATCH(Report_ByVr[[#This Row],[Vr]],Sales[VrNo],0)),"")</f>
        <v/>
      </c>
      <c r="C12">
        <f ca="1">SUMIF(Sales[VrNo],Report_ByVr[[#This Row],[Vr]],Sales[Amount])</f>
        <v>0</v>
      </c>
      <c r="D12">
        <f ca="1">SUMIF(Sales[VrNo],Report_ByVr[[#This Row],[Vr]],Sales[Cash Received])</f>
        <v>0</v>
      </c>
      <c r="K12" t="str">
        <f t="array" aca="1" ref="K12" ca="1">_xlfn.IFNA(INDEX(Report_ByVr[CusName],MATCH(0,COUNTIF(Report_ByCusName[[#Headers],[CusName]]:OFFSET(Report_ByCusName[[#This Row],[CusName]],-1,0),Report_ByVr[CusName]),0)),"")</f>
        <v/>
      </c>
      <c r="L12">
        <f ca="1">SUMIF(Sales[CusName],Report_ByCusName[[#This Row],[CusName]],Sales[Amount])</f>
        <v>0</v>
      </c>
      <c r="M12">
        <f ca="1">SUMIF(Sales[CusName],Report_ByCusName[[#This Row],[CusName]],Sales[Cash Received])</f>
        <v>0</v>
      </c>
    </row>
    <row r="13" spans="1:13" x14ac:dyDescent="0.55000000000000004">
      <c r="A13" t="str">
        <f t="array" aca="1" ref="A13" ca="1">_xlfn.IFNA(INDEX(Sales[VrNo],MATCH(0,COUNTIF(Report_ByVr[[#Headers],[Vr]]:OFFSET(Report_ByVr[[#This Row],[Vr]],-1,0),Sales[VrNo]),0)),"")</f>
        <v/>
      </c>
      <c r="B13" t="str">
        <f ca="1">_xlfn.IFNA(INDEX(Sales[CusName],MATCH(Report_ByVr[[#This Row],[Vr]],Sales[VrNo],0)),"")</f>
        <v/>
      </c>
      <c r="C13">
        <f ca="1">SUMIF(Sales[VrNo],Report_ByVr[[#This Row],[Vr]],Sales[Amount])</f>
        <v>0</v>
      </c>
      <c r="D13">
        <f ca="1">SUMIF(Sales[VrNo],Report_ByVr[[#This Row],[Vr]],Sales[Cash Received])</f>
        <v>0</v>
      </c>
      <c r="K13" t="str">
        <f t="array" aca="1" ref="K13" ca="1">_xlfn.IFNA(INDEX(Report_ByVr[CusName],MATCH(0,COUNTIF(Report_ByCusName[[#Headers],[CusName]]:OFFSET(Report_ByCusName[[#This Row],[CusName]],-1,0),Report_ByVr[CusName]),0)),"")</f>
        <v/>
      </c>
      <c r="L13">
        <f ca="1">SUMIF(Sales[CusName],Report_ByCusName[[#This Row],[CusName]],Sales[Amount])</f>
        <v>0</v>
      </c>
      <c r="M13">
        <f ca="1">SUMIF(Sales[CusName],Report_ByCusName[[#This Row],[CusName]],Sales[Cash Received])</f>
        <v>0</v>
      </c>
    </row>
    <row r="14" spans="1:13" x14ac:dyDescent="0.55000000000000004">
      <c r="K14" t="str">
        <f t="array" aca="1" ref="K14" ca="1">_xlfn.IFNA(INDEX(Report_ByVr[CusName],MATCH(0,COUNTIF(Report_ByCusName[[#Headers],[CusName]]:OFFSET(Report_ByCusName[[#This Row],[CusName]],-1,0),Report_ByVr[CusName]),0)),"")</f>
        <v/>
      </c>
      <c r="L14">
        <f ca="1">SUMIF(Sales[CusName],Report_ByCusName[[#This Row],[CusName]],Sales[Amount])</f>
        <v>0</v>
      </c>
      <c r="M14">
        <f ca="1">SUMIF(Sales[CusName],Report_ByCusName[[#This Row],[CusName]],Sales[Cash Received])</f>
        <v>0</v>
      </c>
    </row>
    <row r="15" spans="1:13" x14ac:dyDescent="0.55000000000000004">
      <c r="K15" t="str">
        <f t="array" aca="1" ref="K15" ca="1">_xlfn.IFNA(INDEX(Report_ByVr[CusName],MATCH(0,COUNTIF(Report_ByCusName[[#Headers],[CusName]]:OFFSET(Report_ByCusName[[#This Row],[CusName]],-1,0),Report_ByVr[CusName]),0)),"")</f>
        <v/>
      </c>
      <c r="L15">
        <f ca="1">SUMIF(Sales[CusName],Report_ByCusName[[#This Row],[CusName]],Sales[Amount])</f>
        <v>0</v>
      </c>
      <c r="M15">
        <f ca="1">SUMIF(Sales[CusName],Report_ByCusName[[#This Row],[CusName]],Sales[Cash Received])</f>
        <v>0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</vt:lpstr>
      <vt:lpstr>Report</vt:lpstr>
    </vt:vector>
  </TitlesOfParts>
  <Company>Swe Swe Thynn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2017-09-15T05:41:24Z</dcterms:created>
  <dcterms:modified xsi:type="dcterms:W3CDTF">2017-09-15T06:10:07Z</dcterms:modified>
</cp:coreProperties>
</file>